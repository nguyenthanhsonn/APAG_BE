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u BB HOP KHOA" sheetId="1" state="visible" r:id="rId3"/>
  </sheets>
  <definedNames>
    <definedName function="false" hidden="false" localSheetId="0" name="_xlnm.Print_Titles" vbProcedure="false">'Mau BB HOP KHOA'!$28:$29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<sst xmlns="http://schemas.openxmlformats.org/spreadsheetml/2006/main" count="50" uniqueCount="45">
  <si>
    <t xml:space="preserve">PHÂN HIỆU HỌC VIỆN HÀNH CHÍNH VÀ QUẢN TRỊ CÔNG TẠI TP ĐÀ NẴNG</t>
  </si>
  <si>
    <t xml:space="preserve">ĐẢNG CỘNG SẢN VIỆT NAM</t>
  </si>
  <si>
    <t xml:space="preserve">KHOA:…………………………….</t>
  </si>
  <si>
    <t xml:space="preserve">Đà Nẵng, ngày              tháng          năm 20….</t>
  </si>
  <si>
    <t xml:space="preserve">*</t>
  </si>
  <si>
    <t xml:space="preserve">BIÊN BẢN HỌP HỘI ĐỒNG</t>
  </si>
  <si>
    <t xml:space="preserve">Về việc đánh giá kết quả rèn luyện của sinh viên lớp..............................</t>
  </si>
  <si>
    <t xml:space="preserve">học kỳ.......... năm học............</t>
  </si>
  <si>
    <r>
      <rPr>
        <b val="true"/>
        <sz val="14"/>
        <rFont val="Times New Roman"/>
        <family val="1"/>
      </rPr>
      <t xml:space="preserve">I. Thời gian: </t>
    </r>
    <r>
      <rPr>
        <sz val="14"/>
        <rFont val="Times New Roman"/>
        <family val="1"/>
      </rPr>
      <t xml:space="preserve">Cuộc họp bắt đầu vào hồi…….............ngày………............................</t>
    </r>
  </si>
  <si>
    <r>
      <rPr>
        <b val="true"/>
        <sz val="14"/>
        <rFont val="Times New Roman"/>
        <family val="1"/>
      </rPr>
      <t xml:space="preserve">II. Địa điểm: </t>
    </r>
    <r>
      <rPr>
        <sz val="14"/>
        <rFont val="Times New Roman"/>
        <family val="1"/>
      </rPr>
      <t xml:space="preserve">…......................................................................................................</t>
    </r>
  </si>
  <si>
    <t xml:space="preserve">III. Thành phần:</t>
  </si>
  <si>
    <t xml:space="preserve">Thành viên Hội đồng đánh giá kết quả rèn luyện cấp Khoa (QĐ số…........ngày…....</t>
  </si>
  <si>
    <t xml:space="preserve">tháng…..năm…......)</t>
  </si>
  <si>
    <t xml:space="preserve">Tổng số: ….............người</t>
  </si>
  <si>
    <t xml:space="preserve">Số người dự họp:…............người, vắng họp…...........,lý do vắng họp:…...............</t>
  </si>
  <si>
    <t xml:space="preserve">Mời dự:…...............................................................................................................</t>
  </si>
  <si>
    <t xml:space="preserve">Chủ tọa:…...............................................................................................................</t>
  </si>
  <si>
    <t xml:space="preserve">Thư ký:…................................................................................................................</t>
  </si>
  <si>
    <t xml:space="preserve">IV. Nội dung</t>
  </si>
  <si>
    <t xml:space="preserve">Đánh giá kết quả rèn luyện của sinh viên lớp……............thuộc Khoa…...........................,</t>
  </si>
  <si>
    <t xml:space="preserve">Căn cứ biên bản họp lớp, ý kiến của các thành viên tham dự cuộc họp, đối chiếu với </t>
  </si>
  <si>
    <t xml:space="preserve">Quy chế của Bộ Giáo dục Đào tạo và quy định của Học viện, Hội đồng đánh giá kết quả </t>
  </si>
  <si>
    <t xml:space="preserve">rèn luyện Khoa nhất trí đánh giá kết quả rèn luyện của sinh viên lớp ........................... </t>
  </si>
  <si>
    <t xml:space="preserve">như sau:</t>
  </si>
  <si>
    <t xml:space="preserve">STT</t>
  </si>
  <si>
    <t xml:space="preserve">Mã số SV</t>
  </si>
  <si>
    <t xml:space="preserve">Họ và Tên</t>
  </si>
  <si>
    <t xml:space="preserve">Ngày sinh</t>
  </si>
  <si>
    <t xml:space="preserve">ĐRL lớp đánh giá</t>
  </si>
  <si>
    <t xml:space="preserve">ĐRL HĐ Khoa ĐG</t>
  </si>
  <si>
    <t xml:space="preserve">Xếp loại</t>
  </si>
  <si>
    <r>
      <rPr>
        <b val="true"/>
        <sz val="11"/>
        <rFont val="Times New Roman"/>
        <family val="1"/>
      </rPr>
      <t xml:space="preserve">Ghi chú
</t>
    </r>
    <r>
      <rPr>
        <i val="true"/>
        <sz val="8"/>
        <rFont val="Times New Roman"/>
        <family val="1"/>
      </rPr>
      <t xml:space="preserve">(kèm theo minh chứng đối với những SV xếp loại: loại XS, tốt, TB, Yếu, kém)</t>
    </r>
  </si>
  <si>
    <t xml:space="preserve">Cuộc họp kết thúc vào hồi .... giờ .... phút ngày ... tháng    năm..........</t>
  </si>
  <si>
    <t xml:space="preserve">Tổng số: </t>
  </si>
  <si>
    <t xml:space="preserve">sinh viên</t>
  </si>
  <si>
    <t xml:space="preserve">Trong đó: </t>
  </si>
  <si>
    <t xml:space="preserve">Xuất sắc:</t>
  </si>
  <si>
    <t xml:space="preserve">Sinh viên</t>
  </si>
  <si>
    <t xml:space="preserve">Tốt:</t>
  </si>
  <si>
    <t xml:space="preserve">Khá:</t>
  </si>
  <si>
    <t xml:space="preserve">Trung bình:</t>
  </si>
  <si>
    <t xml:space="preserve">Yếu:</t>
  </si>
  <si>
    <t xml:space="preserve">TRƯỞNG KHOA</t>
  </si>
  <si>
    <t xml:space="preserve">CHỦ TỊCH HĐ</t>
  </si>
  <si>
    <t xml:space="preserve">THƯ KÝ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</si>
</sst>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</font>
    <font>
      <b val="true"/>
      <sz val="12"/>
      <name val="Times New Roman"/>
      <family val="1"/>
    </font>
    <font>
      <b val="true"/>
      <u val="single"/>
      <sz val="14"/>
      <name val="Times New Roman"/>
      <family val="1"/>
    </font>
    <font>
      <sz val="13"/>
      <name val="Times New Roman"/>
      <family val="1"/>
    </font>
    <font>
      <b val="true"/>
      <sz val="13"/>
      <name val="Times New Roman"/>
      <family val="1"/>
    </font>
    <font>
      <i val="true"/>
      <sz val="12"/>
      <name val="Times New Roman"/>
      <family val="1"/>
    </font>
    <font>
      <b val="true"/>
      <u val="single"/>
      <sz val="12"/>
      <name val="Times New Roman"/>
      <family val="1"/>
    </font>
    <font>
      <b val="true"/>
      <sz val="14"/>
      <name val="Times New Roman"/>
      <family val="1"/>
    </font>
    <font>
      <i val="true"/>
      <sz val="14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 val="true"/>
      <sz val="11"/>
      <name val="Times New Roman"/>
      <family val="1"/>
    </font>
    <font>
      <i val="true"/>
      <sz val="8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4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2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9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0" xfId="2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3" fillId="0" borderId="0" xfId="2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3" fillId="0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1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6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2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3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9" fillId="0" borderId="4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9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5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6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9" fillId="0" borderId="7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9" fillId="0" borderId="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5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6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6" fillId="0" borderId="7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6" fillId="0" borderId="5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6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7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9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9" fillId="0" borderId="1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9" fillId="0" borderId="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8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9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6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2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8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1408320</xdr:colOff>
      <xdr:row>8</xdr:row>
      <xdr:rowOff>19080</xdr:rowOff>
    </xdr:from>
    <xdr:to>
      <xdr:col>4</xdr:col>
      <xdr:colOff>181440</xdr:colOff>
      <xdr:row>8</xdr:row>
      <xdr:rowOff>19080</xdr:rowOff>
    </xdr:to>
    <xdr:sp>
      <xdr:nvSpPr>
        <xdr:cNvPr id="1" name="Straight Connector 2"/>
        <xdr:cNvSpPr/>
      </xdr:nvSpPr>
      <xdr:spPr>
        <a:xfrm>
          <a:off x="2786400" y="2089080"/>
          <a:ext cx="956880" cy="0"/>
        </a:xfrm>
        <a:prstGeom prst="line">
          <a:avLst/>
        </a:prstGeom>
        <a:ln w="12600">
          <a:solidFill>
            <a:srgbClr val="000000"/>
          </a:solidFill>
          <a:prstDash val="dash"/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IW1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8.95" customHeight="true" zeroHeight="false" outlineLevelRow="0" outlineLevelCol="0"/>
  <cols>
    <col collapsed="false" customWidth="true" hidden="false" outlineLevel="0" max="1" min="1" style="1" width="4.7"/>
    <col collapsed="false" customWidth="true" hidden="false" outlineLevel="0" max="2" min="2" style="2" width="14.85"/>
    <col collapsed="false" customWidth="true" hidden="false" outlineLevel="0" max="3" min="3" style="3" width="23.85"/>
    <col collapsed="false" customWidth="true" hidden="false" outlineLevel="0" max="4" min="4" style="4" width="7.14"/>
    <col collapsed="false" customWidth="false" hidden="false" outlineLevel="0" max="5" min="5" style="5" width="9.14"/>
    <col collapsed="false" customWidth="true" hidden="false" outlineLevel="0" max="6" min="6" style="1" width="7.99"/>
    <col collapsed="false" customWidth="true" hidden="false" outlineLevel="0" max="8" min="7" style="1" width="8.41"/>
    <col collapsed="false" customWidth="true" hidden="false" outlineLevel="0" max="9" min="9" style="1" width="8.85"/>
    <col collapsed="false" customWidth="false" hidden="false" outlineLevel="0" max="257" min="10" style="1" width="9.14"/>
  </cols>
  <sheetData>
    <row r="1" customFormat="false" ht="60" hidden="false" customHeight="true" outlineLevel="0" collapsed="false">
      <c r="A1" s="6" t="s">
        <v>0</v>
      </c>
      <c r="B1" s="6"/>
      <c r="C1" s="6"/>
      <c r="D1" s="7" t="s">
        <v>1</v>
      </c>
      <c r="E1" s="7"/>
      <c r="F1" s="7"/>
      <c r="G1" s="7"/>
      <c r="H1" s="7"/>
      <c r="I1" s="7"/>
      <c r="J1" s="8"/>
    </row>
    <row r="2" customFormat="false" ht="4.5" hidden="true" customHeight="true" outlineLevel="0" collapsed="false">
      <c r="A2" s="9"/>
      <c r="B2" s="9"/>
      <c r="C2" s="9"/>
      <c r="D2" s="10"/>
      <c r="E2" s="10"/>
      <c r="F2" s="10"/>
      <c r="G2" s="10"/>
      <c r="H2" s="10"/>
      <c r="I2" s="8"/>
      <c r="J2" s="8"/>
    </row>
    <row r="3" customFormat="false" ht="18.95" hidden="false" customHeight="true" outlineLevel="0" collapsed="false">
      <c r="A3" s="11" t="s">
        <v>2</v>
      </c>
      <c r="B3" s="11"/>
      <c r="C3" s="11"/>
      <c r="D3" s="12" t="s">
        <v>3</v>
      </c>
      <c r="E3" s="12"/>
      <c r="F3" s="12"/>
      <c r="G3" s="12"/>
      <c r="H3" s="12"/>
      <c r="I3" s="12"/>
      <c r="J3" s="13"/>
    </row>
    <row r="4" customFormat="false" ht="18.95" hidden="false" customHeight="true" outlineLevel="0" collapsed="false">
      <c r="A4" s="2" t="s">
        <v>4</v>
      </c>
      <c r="C4" s="2"/>
      <c r="D4" s="1"/>
      <c r="E4" s="14"/>
      <c r="F4" s="14"/>
      <c r="G4" s="14"/>
      <c r="H4" s="14"/>
      <c r="I4" s="14"/>
      <c r="J4" s="14"/>
    </row>
    <row r="5" customFormat="false" ht="8.25" hidden="false" customHeight="true" outlineLevel="0" collapsed="false">
      <c r="E5" s="12"/>
      <c r="F5" s="12"/>
      <c r="G5" s="12"/>
      <c r="H5" s="12"/>
      <c r="I5" s="12"/>
    </row>
    <row r="6" customFormat="false" ht="18.95" hidden="false" customHeight="true" outlineLevel="0" collapsed="false">
      <c r="A6" s="15" t="s">
        <v>5</v>
      </c>
      <c r="B6" s="15"/>
      <c r="C6" s="15"/>
      <c r="D6" s="15"/>
      <c r="E6" s="15"/>
      <c r="F6" s="15"/>
      <c r="G6" s="15"/>
      <c r="H6" s="15"/>
      <c r="I6" s="15"/>
    </row>
    <row r="7" customFormat="false" ht="18.95" hidden="false" customHeight="true" outlineLevel="0" collapsed="false">
      <c r="A7" s="16" t="s">
        <v>6</v>
      </c>
      <c r="B7" s="16"/>
      <c r="C7" s="16"/>
      <c r="D7" s="16"/>
      <c r="E7" s="16"/>
      <c r="F7" s="16"/>
      <c r="G7" s="16"/>
      <c r="H7" s="16"/>
      <c r="I7" s="16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</row>
    <row r="8" customFormat="false" ht="18.95" hidden="false" customHeight="true" outlineLevel="0" collapsed="false">
      <c r="A8" s="16" t="s">
        <v>7</v>
      </c>
      <c r="B8" s="16"/>
      <c r="C8" s="16"/>
      <c r="D8" s="16"/>
      <c r="E8" s="16"/>
      <c r="F8" s="16"/>
      <c r="G8" s="16"/>
      <c r="H8" s="16"/>
      <c r="I8" s="16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</row>
    <row r="9" customFormat="false" ht="18.9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</row>
    <row r="10" customFormat="false" ht="18.95" hidden="false" customHeight="true" outlineLevel="0" collapsed="false">
      <c r="A10" s="19" t="s">
        <v>8</v>
      </c>
      <c r="B10" s="18"/>
      <c r="C10" s="18"/>
      <c r="D10" s="18"/>
      <c r="E10" s="18"/>
      <c r="F10" s="18"/>
      <c r="G10" s="18"/>
      <c r="H10" s="18"/>
      <c r="I10" s="18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</row>
    <row r="11" customFormat="false" ht="18.95" hidden="false" customHeight="true" outlineLevel="0" collapsed="false">
      <c r="A11" s="19" t="s">
        <v>9</v>
      </c>
      <c r="B11" s="18"/>
      <c r="C11" s="18"/>
      <c r="D11" s="18"/>
      <c r="E11" s="18"/>
      <c r="F11" s="18"/>
      <c r="G11" s="18"/>
      <c r="H11" s="18"/>
      <c r="I11" s="1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</row>
    <row r="12" customFormat="false" ht="18.95" hidden="false" customHeight="true" outlineLevel="0" collapsed="false">
      <c r="A12" s="19" t="s">
        <v>10</v>
      </c>
      <c r="B12" s="18"/>
      <c r="C12" s="18"/>
      <c r="D12" s="18"/>
      <c r="E12" s="18"/>
      <c r="F12" s="18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</row>
    <row r="13" customFormat="false" ht="18.95" hidden="false" customHeight="true" outlineLevel="0" collapsed="false">
      <c r="A13" s="20" t="s">
        <v>11</v>
      </c>
      <c r="B13" s="21"/>
      <c r="C13" s="21"/>
      <c r="D13" s="21"/>
      <c r="E13" s="21"/>
      <c r="F13" s="21"/>
      <c r="G13" s="21"/>
      <c r="H13" s="21"/>
      <c r="I13" s="21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</row>
    <row r="14" customFormat="false" ht="18.95" hidden="false" customHeight="true" outlineLevel="0" collapsed="false">
      <c r="A14" s="20" t="s">
        <v>12</v>
      </c>
      <c r="B14" s="21"/>
      <c r="C14" s="21"/>
      <c r="D14" s="21"/>
      <c r="E14" s="21"/>
      <c r="F14" s="21"/>
      <c r="G14" s="21"/>
      <c r="H14" s="21"/>
      <c r="I14" s="21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</row>
    <row r="15" customFormat="false" ht="18.95" hidden="false" customHeight="true" outlineLevel="0" collapsed="false">
      <c r="A15" s="20" t="s">
        <v>13</v>
      </c>
      <c r="B15" s="22"/>
      <c r="C15" s="22"/>
      <c r="D15" s="22"/>
      <c r="E15" s="22"/>
      <c r="F15" s="22"/>
      <c r="G15" s="22"/>
      <c r="H15" s="22"/>
      <c r="I15" s="22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</row>
    <row r="16" customFormat="false" ht="18.95" hidden="false" customHeight="true" outlineLevel="0" collapsed="false">
      <c r="A16" s="20" t="s">
        <v>14</v>
      </c>
      <c r="B16" s="22"/>
      <c r="C16" s="22"/>
      <c r="D16" s="22"/>
      <c r="E16" s="22"/>
      <c r="F16" s="22"/>
      <c r="G16" s="22"/>
      <c r="H16" s="22"/>
      <c r="I16" s="22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</row>
    <row r="17" customFormat="false" ht="18.95" hidden="false" customHeight="true" outlineLevel="0" collapsed="false">
      <c r="A17" s="20" t="s">
        <v>15</v>
      </c>
      <c r="B17" s="22"/>
      <c r="C17" s="22"/>
      <c r="D17" s="22"/>
      <c r="E17" s="22"/>
      <c r="F17" s="22"/>
      <c r="G17" s="22"/>
      <c r="H17" s="22"/>
      <c r="I17" s="22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</row>
    <row r="18" customFormat="false" ht="18.95" hidden="false" customHeight="true" outlineLevel="0" collapsed="false">
      <c r="A18" s="20" t="s">
        <v>16</v>
      </c>
      <c r="B18" s="22"/>
      <c r="C18" s="22"/>
      <c r="D18" s="22"/>
      <c r="E18" s="22"/>
      <c r="F18" s="22"/>
      <c r="G18" s="22"/>
      <c r="H18" s="22"/>
      <c r="I18" s="2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</row>
    <row r="19" customFormat="false" ht="18.95" hidden="false" customHeight="true" outlineLevel="0" collapsed="false">
      <c r="A19" s="20" t="s">
        <v>17</v>
      </c>
      <c r="B19" s="22"/>
      <c r="C19" s="22"/>
      <c r="D19" s="22"/>
      <c r="E19" s="22"/>
      <c r="F19" s="22"/>
      <c r="G19" s="22"/>
      <c r="H19" s="22"/>
      <c r="I19" s="22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</row>
    <row r="20" customFormat="false" ht="18.95" hidden="false" customHeight="true" outlineLevel="0" collapsed="false">
      <c r="A20" s="19" t="s">
        <v>18</v>
      </c>
      <c r="B20" s="22"/>
      <c r="C20" s="22"/>
      <c r="D20" s="22"/>
      <c r="E20" s="22"/>
      <c r="F20" s="22"/>
      <c r="G20" s="22"/>
      <c r="H20" s="22"/>
      <c r="I20" s="22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</row>
    <row r="21" customFormat="false" ht="18.95" hidden="false" customHeight="true" outlineLevel="0" collapsed="false">
      <c r="A21" s="20" t="s">
        <v>19</v>
      </c>
      <c r="B21" s="22"/>
      <c r="C21" s="22"/>
      <c r="D21" s="22"/>
      <c r="E21" s="22"/>
      <c r="F21" s="22"/>
      <c r="G21" s="22"/>
      <c r="H21" s="22"/>
      <c r="I21" s="2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</row>
    <row r="22" customFormat="false" ht="18.95" hidden="false" customHeight="true" outlineLevel="0" collapsed="false">
      <c r="A22" s="20" t="s">
        <v>7</v>
      </c>
      <c r="B22" s="22"/>
      <c r="C22" s="22"/>
      <c r="D22" s="22"/>
      <c r="E22" s="22"/>
      <c r="F22" s="22"/>
      <c r="G22" s="22"/>
      <c r="H22" s="22"/>
      <c r="I22" s="22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</row>
    <row r="23" customFormat="false" ht="18.95" hidden="false" customHeight="true" outlineLevel="0" collapsed="false">
      <c r="A23" s="23" t="s">
        <v>20</v>
      </c>
      <c r="B23" s="22"/>
      <c r="C23" s="22"/>
      <c r="D23" s="22"/>
      <c r="E23" s="22"/>
      <c r="F23" s="22"/>
      <c r="G23" s="22"/>
      <c r="H23" s="22"/>
      <c r="I23" s="22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</row>
    <row r="24" customFormat="false" ht="18.95" hidden="false" customHeight="true" outlineLevel="0" collapsed="false">
      <c r="A24" s="20" t="s">
        <v>21</v>
      </c>
      <c r="B24" s="22"/>
      <c r="C24" s="22"/>
      <c r="D24" s="22"/>
      <c r="E24" s="22"/>
      <c r="F24" s="22"/>
      <c r="G24" s="22"/>
      <c r="H24" s="22"/>
      <c r="I24" s="22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</row>
    <row r="25" customFormat="false" ht="18.95" hidden="false" customHeight="true" outlineLevel="0" collapsed="false">
      <c r="A25" s="20" t="s">
        <v>22</v>
      </c>
      <c r="B25" s="22"/>
      <c r="C25" s="22"/>
      <c r="D25" s="22"/>
      <c r="E25" s="22"/>
      <c r="F25" s="22"/>
      <c r="G25" s="22"/>
      <c r="H25" s="22"/>
      <c r="I25" s="22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</row>
    <row r="26" customFormat="false" ht="18.95" hidden="false" customHeight="true" outlineLevel="0" collapsed="false">
      <c r="A26" s="20" t="s">
        <v>23</v>
      </c>
      <c r="B26" s="22"/>
      <c r="C26" s="22"/>
      <c r="D26" s="22"/>
      <c r="E26" s="22"/>
      <c r="F26" s="22"/>
      <c r="G26" s="22"/>
      <c r="H26" s="22"/>
      <c r="I26" s="22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</row>
    <row r="27" customFormat="false" ht="13.5" hidden="false" customHeight="true" outlineLevel="0" collapsed="false">
      <c r="A27" s="24"/>
      <c r="B27" s="25"/>
      <c r="C27" s="26"/>
      <c r="D27" s="27"/>
      <c r="E27" s="28"/>
      <c r="F27" s="26"/>
      <c r="G27" s="26"/>
      <c r="H27" s="26"/>
      <c r="I27" s="26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</row>
    <row r="28" customFormat="false" ht="34.5" hidden="false" customHeight="true" outlineLevel="0" collapsed="false">
      <c r="A28" s="30" t="s">
        <v>24</v>
      </c>
      <c r="B28" s="31" t="s">
        <v>25</v>
      </c>
      <c r="C28" s="32" t="s">
        <v>26</v>
      </c>
      <c r="D28" s="32"/>
      <c r="E28" s="33" t="s">
        <v>27</v>
      </c>
      <c r="F28" s="32" t="s">
        <v>28</v>
      </c>
      <c r="G28" s="32" t="s">
        <v>29</v>
      </c>
      <c r="H28" s="32" t="s">
        <v>30</v>
      </c>
      <c r="I28" s="32" t="s">
        <v>31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</row>
    <row r="29" customFormat="false" ht="69.75" hidden="false" customHeight="true" outlineLevel="0" collapsed="false">
      <c r="A29" s="30"/>
      <c r="B29" s="31"/>
      <c r="C29" s="32"/>
      <c r="D29" s="32"/>
      <c r="E29" s="33"/>
      <c r="F29" s="32"/>
      <c r="G29" s="32"/>
      <c r="H29" s="32"/>
      <c r="I29" s="32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</row>
    <row r="30" customFormat="false" ht="25.5" hidden="false" customHeight="true" outlineLevel="0" collapsed="false">
      <c r="A30" s="34" t="n">
        <v>1</v>
      </c>
      <c r="B30" s="34"/>
      <c r="C30" s="35"/>
      <c r="D30" s="36"/>
      <c r="E30" s="37"/>
      <c r="F30" s="38"/>
      <c r="G30" s="39"/>
      <c r="H30" s="40" t="str">
        <f aca="false">IF(G30&gt;=90,"Xuất sắc",IF(G30&gt;=80,"Tốt",IF(G30&gt;=65,"Khá",IF(G30&gt;=50,"TB",""))))</f>
        <v/>
      </c>
      <c r="I30" s="41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</row>
    <row r="31" customFormat="false" ht="25.5" hidden="false" customHeight="true" outlineLevel="0" collapsed="false">
      <c r="A31" s="42" t="n">
        <v>2</v>
      </c>
      <c r="B31" s="42"/>
      <c r="C31" s="43"/>
      <c r="D31" s="44"/>
      <c r="E31" s="45"/>
      <c r="F31" s="46"/>
      <c r="G31" s="47"/>
      <c r="H31" s="48" t="str">
        <f aca="false">IF(G31&gt;=90,"Xuất sắc",IF(G31&gt;=80,"Tốt",IF(G31&gt;=65,"Khá",IF(G31&gt;=50,"TB",""))))</f>
        <v/>
      </c>
      <c r="I31" s="4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</row>
    <row r="32" customFormat="false" ht="25.5" hidden="false" customHeight="true" outlineLevel="0" collapsed="false">
      <c r="A32" s="42" t="n">
        <v>3</v>
      </c>
      <c r="B32" s="42"/>
      <c r="C32" s="43"/>
      <c r="D32" s="44"/>
      <c r="E32" s="45"/>
      <c r="F32" s="46"/>
      <c r="G32" s="47"/>
      <c r="H32" s="48" t="str">
        <f aca="false">IF(G32&gt;=90,"Xuất sắc",IF(G32&gt;=80,"Tốt",IF(G32&gt;=65,"Khá",IF(G32&gt;=50,"TB",""))))</f>
        <v/>
      </c>
      <c r="I32" s="4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  <c r="IU32" s="29"/>
      <c r="IV32" s="29"/>
      <c r="IW32" s="29"/>
    </row>
    <row r="33" customFormat="false" ht="25.5" hidden="false" customHeight="true" outlineLevel="0" collapsed="false">
      <c r="A33" s="42" t="n">
        <v>4</v>
      </c>
      <c r="B33" s="42"/>
      <c r="C33" s="43"/>
      <c r="D33" s="44"/>
      <c r="E33" s="45"/>
      <c r="F33" s="46"/>
      <c r="G33" s="47"/>
      <c r="H33" s="48" t="str">
        <f aca="false">IF(G33&gt;=90,"Xuất sắc",IF(G33&gt;=80,"Tốt",IF(G33&gt;=65,"Khá",IF(G33&gt;=50,"TB",""))))</f>
        <v/>
      </c>
      <c r="I33" s="4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  <c r="IU33" s="29"/>
      <c r="IV33" s="29"/>
      <c r="IW33" s="29"/>
    </row>
    <row r="34" customFormat="false" ht="25.5" hidden="false" customHeight="true" outlineLevel="0" collapsed="false">
      <c r="A34" s="42" t="n">
        <v>5</v>
      </c>
      <c r="B34" s="42"/>
      <c r="C34" s="43"/>
      <c r="D34" s="44"/>
      <c r="E34" s="45"/>
      <c r="F34" s="46"/>
      <c r="G34" s="47"/>
      <c r="H34" s="48" t="str">
        <f aca="false">IF(G34&gt;=90,"Xuất sắc",IF(G34&gt;=80,"Tốt",IF(G34&gt;=65,"Khá",IF(G34&gt;=50,"TB",""))))</f>
        <v/>
      </c>
      <c r="I34" s="4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  <c r="IU34" s="29"/>
      <c r="IV34" s="29"/>
      <c r="IW34" s="29"/>
    </row>
    <row r="35" customFormat="false" ht="25.5" hidden="false" customHeight="true" outlineLevel="0" collapsed="false">
      <c r="A35" s="42" t="n">
        <v>6</v>
      </c>
      <c r="B35" s="42"/>
      <c r="C35" s="43"/>
      <c r="D35" s="44"/>
      <c r="E35" s="45"/>
      <c r="F35" s="46"/>
      <c r="G35" s="47"/>
      <c r="H35" s="48" t="str">
        <f aca="false">IF(G35&gt;=90,"Xuất sắc",IF(G35&gt;=80,"Tốt",IF(G35&gt;=65,"Khá",IF(G35&gt;=50,"TB",""))))</f>
        <v/>
      </c>
      <c r="I35" s="4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  <c r="IU35" s="29"/>
      <c r="IV35" s="29"/>
      <c r="IW35" s="29"/>
    </row>
    <row r="36" customFormat="false" ht="25.5" hidden="false" customHeight="true" outlineLevel="0" collapsed="false">
      <c r="A36" s="42" t="n">
        <v>7</v>
      </c>
      <c r="B36" s="42"/>
      <c r="C36" s="43"/>
      <c r="D36" s="44"/>
      <c r="E36" s="45"/>
      <c r="F36" s="46"/>
      <c r="G36" s="47"/>
      <c r="H36" s="48" t="str">
        <f aca="false">IF(G36&gt;=90,"Xuất sắc",IF(G36&gt;=80,"Tốt",IF(G36&gt;=65,"Khá",IF(G36&gt;=50,"TB",""))))</f>
        <v/>
      </c>
      <c r="I36" s="4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  <c r="IU36" s="29"/>
      <c r="IV36" s="29"/>
      <c r="IW36" s="29"/>
    </row>
    <row r="37" customFormat="false" ht="25.5" hidden="false" customHeight="true" outlineLevel="0" collapsed="false">
      <c r="A37" s="42" t="n">
        <v>8</v>
      </c>
      <c r="B37" s="42"/>
      <c r="C37" s="43"/>
      <c r="D37" s="44"/>
      <c r="E37" s="45"/>
      <c r="F37" s="46"/>
      <c r="G37" s="47"/>
      <c r="H37" s="48" t="str">
        <f aca="false">IF(G37&gt;=90,"Xuất sắc",IF(G37&gt;=80,"Tốt",IF(G37&gt;=65,"Khá",IF(G37&gt;=50,"TB",""))))</f>
        <v/>
      </c>
      <c r="I37" s="4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  <c r="IS37" s="29"/>
      <c r="IT37" s="29"/>
      <c r="IU37" s="29"/>
      <c r="IV37" s="29"/>
      <c r="IW37" s="29"/>
    </row>
    <row r="38" customFormat="false" ht="25.5" hidden="false" customHeight="true" outlineLevel="0" collapsed="false">
      <c r="A38" s="42" t="n">
        <v>9</v>
      </c>
      <c r="B38" s="42"/>
      <c r="C38" s="43"/>
      <c r="D38" s="44"/>
      <c r="E38" s="45"/>
      <c r="F38" s="46"/>
      <c r="G38" s="47"/>
      <c r="H38" s="48" t="str">
        <f aca="false">IF(G38&gt;=90,"Xuất sắc",IF(G38&gt;=80,"Tốt",IF(G38&gt;=65,"Khá",IF(G38&gt;=50,"TB",""))))</f>
        <v/>
      </c>
      <c r="I38" s="4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T38" s="29"/>
      <c r="GU38" s="29"/>
      <c r="GV38" s="29"/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/>
      <c r="HJ38" s="29"/>
      <c r="HK38" s="29"/>
      <c r="HL38" s="29"/>
      <c r="HM38" s="29"/>
      <c r="HN38" s="29"/>
      <c r="HO38" s="29"/>
      <c r="HP38" s="29"/>
      <c r="HQ38" s="29"/>
      <c r="HR38" s="29"/>
      <c r="HS38" s="29"/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  <c r="IF38" s="29"/>
      <c r="IG38" s="29"/>
      <c r="IH38" s="29"/>
      <c r="II38" s="29"/>
      <c r="IJ38" s="29"/>
      <c r="IK38" s="29"/>
      <c r="IL38" s="29"/>
      <c r="IM38" s="29"/>
      <c r="IN38" s="29"/>
      <c r="IO38" s="29"/>
      <c r="IP38" s="29"/>
      <c r="IQ38" s="29"/>
      <c r="IR38" s="29"/>
      <c r="IS38" s="29"/>
      <c r="IT38" s="29"/>
      <c r="IU38" s="29"/>
      <c r="IV38" s="29"/>
      <c r="IW38" s="29"/>
    </row>
    <row r="39" customFormat="false" ht="25.5" hidden="false" customHeight="true" outlineLevel="0" collapsed="false">
      <c r="A39" s="42" t="n">
        <v>10</v>
      </c>
      <c r="B39" s="42"/>
      <c r="C39" s="43"/>
      <c r="D39" s="44"/>
      <c r="E39" s="45"/>
      <c r="F39" s="46"/>
      <c r="G39" s="47"/>
      <c r="H39" s="48" t="str">
        <f aca="false">IF(G39&gt;=90,"Xuất sắc",IF(G39&gt;=80,"Tốt",IF(G39&gt;=65,"Khá",IF(G39&gt;=50,"TB",""))))</f>
        <v/>
      </c>
      <c r="I39" s="4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T39" s="29"/>
      <c r="GU39" s="29"/>
      <c r="GV39" s="29"/>
      <c r="GW39" s="29"/>
      <c r="GX39" s="29"/>
      <c r="GY39" s="29"/>
      <c r="GZ39" s="29"/>
      <c r="HA39" s="29"/>
      <c r="HB39" s="29"/>
      <c r="HC39" s="29"/>
      <c r="HD39" s="29"/>
      <c r="HE39" s="29"/>
      <c r="HF39" s="29"/>
      <c r="HG39" s="29"/>
      <c r="HH39" s="29"/>
      <c r="HI39" s="29"/>
      <c r="HJ39" s="29"/>
      <c r="HK39" s="29"/>
      <c r="HL39" s="29"/>
      <c r="HM39" s="29"/>
      <c r="HN39" s="29"/>
      <c r="HO39" s="29"/>
      <c r="HP39" s="29"/>
      <c r="HQ39" s="29"/>
      <c r="HR39" s="29"/>
      <c r="HS39" s="29"/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  <c r="IF39" s="29"/>
      <c r="IG39" s="29"/>
      <c r="IH39" s="29"/>
      <c r="II39" s="29"/>
      <c r="IJ39" s="29"/>
      <c r="IK39" s="29"/>
      <c r="IL39" s="29"/>
      <c r="IM39" s="29"/>
      <c r="IN39" s="29"/>
      <c r="IO39" s="29"/>
      <c r="IP39" s="29"/>
      <c r="IQ39" s="29"/>
      <c r="IR39" s="29"/>
      <c r="IS39" s="29"/>
      <c r="IT39" s="29"/>
      <c r="IU39" s="29"/>
      <c r="IV39" s="29"/>
      <c r="IW39" s="29"/>
    </row>
    <row r="40" customFormat="false" ht="25.5" hidden="false" customHeight="true" outlineLevel="0" collapsed="false">
      <c r="A40" s="42" t="n">
        <v>11</v>
      </c>
      <c r="B40" s="42"/>
      <c r="C40" s="43"/>
      <c r="D40" s="44"/>
      <c r="E40" s="45"/>
      <c r="F40" s="46"/>
      <c r="G40" s="47"/>
      <c r="H40" s="48" t="str">
        <f aca="false">IF(G40&gt;=90,"Xuất sắc",IF(G40&gt;=80,"Tốt",IF(G40&gt;=65,"Khá",IF(G40&gt;=50,"TB",""))))</f>
        <v/>
      </c>
      <c r="I40" s="4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  <c r="IF40" s="29"/>
      <c r="IG40" s="29"/>
      <c r="IH40" s="29"/>
      <c r="II40" s="29"/>
      <c r="IJ40" s="29"/>
      <c r="IK40" s="29"/>
      <c r="IL40" s="29"/>
      <c r="IM40" s="29"/>
      <c r="IN40" s="29"/>
      <c r="IO40" s="29"/>
      <c r="IP40" s="29"/>
      <c r="IQ40" s="29"/>
      <c r="IR40" s="29"/>
      <c r="IS40" s="29"/>
      <c r="IT40" s="29"/>
      <c r="IU40" s="29"/>
      <c r="IV40" s="29"/>
      <c r="IW40" s="29"/>
    </row>
    <row r="41" customFormat="false" ht="25.5" hidden="false" customHeight="true" outlineLevel="0" collapsed="false">
      <c r="A41" s="42" t="n">
        <v>12</v>
      </c>
      <c r="B41" s="42"/>
      <c r="C41" s="43"/>
      <c r="D41" s="44"/>
      <c r="E41" s="45"/>
      <c r="F41" s="46"/>
      <c r="G41" s="47"/>
      <c r="H41" s="48" t="str">
        <f aca="false">IF(G41&gt;=90,"Xuất sắc",IF(G41&gt;=80,"Tốt",IF(G41&gt;=65,"Khá",IF(G41&gt;=50,"TB",""))))</f>
        <v/>
      </c>
      <c r="I41" s="4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9"/>
      <c r="GQ41" s="29"/>
      <c r="GR41" s="29"/>
      <c r="GS41" s="29"/>
      <c r="GT41" s="29"/>
      <c r="GU41" s="29"/>
      <c r="GV41" s="29"/>
      <c r="GW41" s="29"/>
      <c r="GX41" s="29"/>
      <c r="GY41" s="29"/>
      <c r="GZ41" s="29"/>
      <c r="HA41" s="29"/>
      <c r="HB41" s="29"/>
      <c r="HC41" s="29"/>
      <c r="HD41" s="29"/>
      <c r="HE41" s="29"/>
      <c r="HF41" s="29"/>
      <c r="HG41" s="29"/>
      <c r="HH41" s="29"/>
      <c r="HI41" s="29"/>
      <c r="HJ41" s="29"/>
      <c r="HK41" s="29"/>
      <c r="HL41" s="29"/>
      <c r="HM41" s="29"/>
      <c r="HN41" s="29"/>
      <c r="HO41" s="29"/>
      <c r="HP41" s="29"/>
      <c r="HQ41" s="29"/>
      <c r="HR41" s="29"/>
      <c r="HS41" s="29"/>
      <c r="HT41" s="29"/>
      <c r="HU41" s="29"/>
      <c r="HV41" s="29"/>
      <c r="HW41" s="29"/>
      <c r="HX41" s="29"/>
      <c r="HY41" s="29"/>
      <c r="HZ41" s="29"/>
      <c r="IA41" s="29"/>
      <c r="IB41" s="29"/>
      <c r="IC41" s="29"/>
      <c r="ID41" s="29"/>
      <c r="IE41" s="29"/>
      <c r="IF41" s="29"/>
      <c r="IG41" s="29"/>
      <c r="IH41" s="29"/>
      <c r="II41" s="29"/>
      <c r="IJ41" s="29"/>
      <c r="IK41" s="29"/>
      <c r="IL41" s="29"/>
      <c r="IM41" s="29"/>
      <c r="IN41" s="29"/>
      <c r="IO41" s="29"/>
      <c r="IP41" s="29"/>
      <c r="IQ41" s="29"/>
      <c r="IR41" s="29"/>
      <c r="IS41" s="29"/>
      <c r="IT41" s="29"/>
      <c r="IU41" s="29"/>
      <c r="IV41" s="29"/>
      <c r="IW41" s="29"/>
    </row>
    <row r="42" customFormat="false" ht="25.5" hidden="false" customHeight="true" outlineLevel="0" collapsed="false">
      <c r="A42" s="42" t="n">
        <v>13</v>
      </c>
      <c r="B42" s="42"/>
      <c r="C42" s="43"/>
      <c r="D42" s="44"/>
      <c r="E42" s="45"/>
      <c r="F42" s="46"/>
      <c r="G42" s="47"/>
      <c r="H42" s="48" t="str">
        <f aca="false">IF(G42&gt;=90,"Xuất sắc",IF(G42&gt;=80,"Tốt",IF(G42&gt;=65,"Khá",IF(G42&gt;=50,"TB",""))))</f>
        <v/>
      </c>
      <c r="I42" s="4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/>
      <c r="GE42" s="29"/>
      <c r="GF42" s="29"/>
      <c r="GG42" s="29"/>
      <c r="GH42" s="29"/>
      <c r="GI42" s="29"/>
      <c r="GJ42" s="29"/>
      <c r="GK42" s="29"/>
      <c r="GL42" s="29"/>
      <c r="GM42" s="29"/>
      <c r="GN42" s="29"/>
      <c r="GO42" s="29"/>
      <c r="GP42" s="29"/>
      <c r="GQ42" s="29"/>
      <c r="GR42" s="29"/>
      <c r="GS42" s="29"/>
      <c r="GT42" s="29"/>
      <c r="GU42" s="29"/>
      <c r="GV42" s="29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/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/>
      <c r="IM42" s="29"/>
      <c r="IN42" s="29"/>
      <c r="IO42" s="29"/>
      <c r="IP42" s="29"/>
      <c r="IQ42" s="29"/>
      <c r="IR42" s="29"/>
      <c r="IS42" s="29"/>
      <c r="IT42" s="29"/>
      <c r="IU42" s="29"/>
      <c r="IV42" s="29"/>
      <c r="IW42" s="29"/>
    </row>
    <row r="43" customFormat="false" ht="25.5" hidden="false" customHeight="true" outlineLevel="0" collapsed="false">
      <c r="A43" s="42" t="n">
        <v>14</v>
      </c>
      <c r="B43" s="42"/>
      <c r="C43" s="43"/>
      <c r="D43" s="44"/>
      <c r="E43" s="45"/>
      <c r="F43" s="46"/>
      <c r="G43" s="47"/>
      <c r="H43" s="48" t="str">
        <f aca="false">IF(G43&gt;=90,"Xuất sắc",IF(G43&gt;=80,"Tốt",IF(G43&gt;=65,"Khá",IF(G43&gt;=50,"TB",""))))</f>
        <v/>
      </c>
      <c r="I43" s="4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  <c r="FS43" s="29"/>
      <c r="FT43" s="29"/>
      <c r="FU43" s="29"/>
      <c r="FV43" s="29"/>
      <c r="FW43" s="29"/>
      <c r="FX43" s="29"/>
      <c r="FY43" s="29"/>
      <c r="FZ43" s="29"/>
      <c r="GA43" s="29"/>
      <c r="GB43" s="29"/>
      <c r="GC43" s="29"/>
      <c r="GD43" s="29"/>
      <c r="GE43" s="29"/>
      <c r="GF43" s="29"/>
      <c r="GG43" s="29"/>
      <c r="GH43" s="29"/>
      <c r="GI43" s="29"/>
      <c r="GJ43" s="29"/>
      <c r="GK43" s="29"/>
      <c r="GL43" s="29"/>
      <c r="GM43" s="29"/>
      <c r="GN43" s="29"/>
      <c r="GO43" s="29"/>
      <c r="GP43" s="29"/>
      <c r="GQ43" s="29"/>
      <c r="GR43" s="29"/>
      <c r="GS43" s="29"/>
      <c r="GT43" s="29"/>
      <c r="GU43" s="29"/>
      <c r="GV43" s="29"/>
      <c r="GW43" s="29"/>
      <c r="GX43" s="29"/>
      <c r="GY43" s="29"/>
      <c r="GZ43" s="29"/>
      <c r="HA43" s="29"/>
      <c r="HB43" s="29"/>
      <c r="HC43" s="29"/>
      <c r="HD43" s="29"/>
      <c r="HE43" s="29"/>
      <c r="HF43" s="29"/>
      <c r="HG43" s="29"/>
      <c r="HH43" s="29"/>
      <c r="HI43" s="29"/>
      <c r="HJ43" s="29"/>
      <c r="HK43" s="29"/>
      <c r="HL43" s="29"/>
      <c r="HM43" s="29"/>
      <c r="HN43" s="29"/>
      <c r="HO43" s="29"/>
      <c r="HP43" s="29"/>
      <c r="HQ43" s="29"/>
      <c r="HR43" s="29"/>
      <c r="HS43" s="29"/>
      <c r="HT43" s="29"/>
      <c r="HU43" s="29"/>
      <c r="HV43" s="29"/>
      <c r="HW43" s="29"/>
      <c r="HX43" s="29"/>
      <c r="HY43" s="29"/>
      <c r="HZ43" s="29"/>
      <c r="IA43" s="29"/>
      <c r="IB43" s="29"/>
      <c r="IC43" s="29"/>
      <c r="ID43" s="29"/>
      <c r="IE43" s="29"/>
      <c r="IF43" s="29"/>
      <c r="IG43" s="29"/>
      <c r="IH43" s="29"/>
      <c r="II43" s="29"/>
      <c r="IJ43" s="29"/>
      <c r="IK43" s="29"/>
      <c r="IL43" s="29"/>
      <c r="IM43" s="29"/>
      <c r="IN43" s="29"/>
      <c r="IO43" s="29"/>
      <c r="IP43" s="29"/>
      <c r="IQ43" s="29"/>
      <c r="IR43" s="29"/>
      <c r="IS43" s="29"/>
      <c r="IT43" s="29"/>
      <c r="IU43" s="29"/>
      <c r="IV43" s="29"/>
      <c r="IW43" s="29"/>
    </row>
    <row r="44" customFormat="false" ht="25.5" hidden="false" customHeight="true" outlineLevel="0" collapsed="false">
      <c r="A44" s="42" t="n">
        <v>15</v>
      </c>
      <c r="B44" s="42"/>
      <c r="C44" s="43"/>
      <c r="D44" s="44"/>
      <c r="E44" s="45"/>
      <c r="F44" s="46"/>
      <c r="G44" s="47"/>
      <c r="H44" s="48" t="str">
        <f aca="false">IF(G44&gt;=90,"Xuất sắc",IF(G44&gt;=80,"Tốt",IF(G44&gt;=65,"Khá",IF(G44&gt;=50,"TB",""))))</f>
        <v/>
      </c>
      <c r="I44" s="4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  <c r="FS44" s="29"/>
      <c r="FT44" s="29"/>
      <c r="FU44" s="29"/>
      <c r="FV44" s="29"/>
      <c r="FW44" s="29"/>
      <c r="FX44" s="29"/>
      <c r="FY44" s="29"/>
      <c r="FZ44" s="29"/>
      <c r="GA44" s="29"/>
      <c r="GB44" s="29"/>
      <c r="GC44" s="29"/>
      <c r="GD44" s="29"/>
      <c r="GE44" s="29"/>
      <c r="GF44" s="29"/>
      <c r="GG44" s="29"/>
      <c r="GH44" s="29"/>
      <c r="GI44" s="29"/>
      <c r="GJ44" s="29"/>
      <c r="GK44" s="29"/>
      <c r="GL44" s="29"/>
      <c r="GM44" s="29"/>
      <c r="GN44" s="29"/>
      <c r="GO44" s="29"/>
      <c r="GP44" s="29"/>
      <c r="GQ44" s="29"/>
      <c r="GR44" s="29"/>
      <c r="GS44" s="29"/>
      <c r="GT44" s="29"/>
      <c r="GU44" s="29"/>
      <c r="GV44" s="29"/>
      <c r="GW44" s="29"/>
      <c r="GX44" s="29"/>
      <c r="GY44" s="29"/>
      <c r="GZ44" s="29"/>
      <c r="HA44" s="29"/>
      <c r="HB44" s="29"/>
      <c r="HC44" s="29"/>
      <c r="HD44" s="29"/>
      <c r="HE44" s="29"/>
      <c r="HF44" s="29"/>
      <c r="HG44" s="29"/>
      <c r="HH44" s="29"/>
      <c r="HI44" s="29"/>
      <c r="HJ44" s="29"/>
      <c r="HK44" s="29"/>
      <c r="HL44" s="29"/>
      <c r="HM44" s="29"/>
      <c r="HN44" s="29"/>
      <c r="HO44" s="29"/>
      <c r="HP44" s="29"/>
      <c r="HQ44" s="29"/>
      <c r="HR44" s="29"/>
      <c r="HS44" s="29"/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/>
      <c r="IE44" s="29"/>
      <c r="IF44" s="29"/>
      <c r="IG44" s="29"/>
      <c r="IH44" s="29"/>
      <c r="II44" s="29"/>
      <c r="IJ44" s="29"/>
      <c r="IK44" s="29"/>
      <c r="IL44" s="29"/>
      <c r="IM44" s="29"/>
      <c r="IN44" s="29"/>
      <c r="IO44" s="29"/>
      <c r="IP44" s="29"/>
      <c r="IQ44" s="29"/>
      <c r="IR44" s="29"/>
      <c r="IS44" s="29"/>
      <c r="IT44" s="29"/>
      <c r="IU44" s="29"/>
      <c r="IV44" s="29"/>
      <c r="IW44" s="29"/>
    </row>
    <row r="45" customFormat="false" ht="25.5" hidden="false" customHeight="true" outlineLevel="0" collapsed="false">
      <c r="A45" s="42" t="n">
        <v>16</v>
      </c>
      <c r="B45" s="42"/>
      <c r="C45" s="43"/>
      <c r="D45" s="44"/>
      <c r="E45" s="45"/>
      <c r="F45" s="46"/>
      <c r="G45" s="47"/>
      <c r="H45" s="48" t="str">
        <f aca="false">IF(G45&gt;=90,"Xuất sắc",IF(G45&gt;=80,"Tốt",IF(G45&gt;=65,"Khá",IF(G45&gt;=50,"TB",""))))</f>
        <v/>
      </c>
      <c r="I45" s="4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T45" s="29"/>
      <c r="GU45" s="29"/>
      <c r="GV45" s="29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/>
      <c r="IM45" s="29"/>
      <c r="IN45" s="29"/>
      <c r="IO45" s="29"/>
      <c r="IP45" s="29"/>
      <c r="IQ45" s="29"/>
      <c r="IR45" s="29"/>
      <c r="IS45" s="29"/>
      <c r="IT45" s="29"/>
      <c r="IU45" s="29"/>
      <c r="IV45" s="29"/>
      <c r="IW45" s="29"/>
    </row>
    <row r="46" customFormat="false" ht="25.5" hidden="false" customHeight="true" outlineLevel="0" collapsed="false">
      <c r="A46" s="42" t="n">
        <v>17</v>
      </c>
      <c r="B46" s="42"/>
      <c r="C46" s="43"/>
      <c r="D46" s="44"/>
      <c r="E46" s="45"/>
      <c r="F46" s="46"/>
      <c r="G46" s="47"/>
      <c r="H46" s="48" t="str">
        <f aca="false">IF(G46&gt;=90,"Xuất sắc",IF(G46&gt;=80,"Tốt",IF(G46&gt;=65,"Khá",IF(G46&gt;=50,"TB",""))))</f>
        <v/>
      </c>
      <c r="I46" s="4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/>
      <c r="IM46" s="29"/>
      <c r="IN46" s="29"/>
      <c r="IO46" s="29"/>
      <c r="IP46" s="29"/>
      <c r="IQ46" s="29"/>
      <c r="IR46" s="29"/>
      <c r="IS46" s="29"/>
      <c r="IT46" s="29"/>
      <c r="IU46" s="29"/>
      <c r="IV46" s="29"/>
      <c r="IW46" s="29"/>
    </row>
    <row r="47" customFormat="false" ht="25.5" hidden="false" customHeight="true" outlineLevel="0" collapsed="false">
      <c r="A47" s="42" t="n">
        <v>18</v>
      </c>
      <c r="B47" s="42"/>
      <c r="C47" s="43"/>
      <c r="D47" s="44"/>
      <c r="E47" s="45"/>
      <c r="F47" s="46"/>
      <c r="G47" s="47"/>
      <c r="H47" s="48" t="str">
        <f aca="false">IF(G47&gt;=90,"Xuất sắc",IF(G47&gt;=80,"Tốt",IF(G47&gt;=65,"Khá",IF(G47&gt;=50,"TB",""))))</f>
        <v/>
      </c>
      <c r="I47" s="4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</row>
    <row r="48" customFormat="false" ht="25.5" hidden="false" customHeight="true" outlineLevel="0" collapsed="false">
      <c r="A48" s="42" t="n">
        <v>19</v>
      </c>
      <c r="B48" s="42"/>
      <c r="C48" s="50"/>
      <c r="D48" s="51"/>
      <c r="E48" s="52"/>
      <c r="F48" s="46"/>
      <c r="G48" s="47"/>
      <c r="H48" s="48" t="str">
        <f aca="false">IF(G48&gt;=90,"Xuất sắc",IF(G48&gt;=80,"Tốt",IF(G48&gt;=65,"Khá",IF(G48&gt;=50,"TB",""))))</f>
        <v/>
      </c>
      <c r="I48" s="4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/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T48" s="29"/>
      <c r="GU48" s="29"/>
      <c r="GV48" s="29"/>
      <c r="GW48" s="29"/>
      <c r="GX48" s="29"/>
      <c r="GY48" s="29"/>
      <c r="GZ48" s="29"/>
      <c r="HA48" s="29"/>
      <c r="HB48" s="29"/>
      <c r="HC48" s="29"/>
      <c r="HD48" s="29"/>
      <c r="HE48" s="29"/>
      <c r="HF48" s="29"/>
      <c r="HG48" s="29"/>
      <c r="HH48" s="29"/>
      <c r="HI48" s="29"/>
      <c r="HJ48" s="29"/>
      <c r="HK48" s="29"/>
      <c r="HL48" s="29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/>
      <c r="IM48" s="29"/>
      <c r="IN48" s="29"/>
      <c r="IO48" s="29"/>
      <c r="IP48" s="29"/>
      <c r="IQ48" s="29"/>
      <c r="IR48" s="29"/>
      <c r="IS48" s="29"/>
      <c r="IT48" s="29"/>
      <c r="IU48" s="29"/>
      <c r="IV48" s="29"/>
      <c r="IW48" s="29"/>
    </row>
    <row r="49" customFormat="false" ht="25.5" hidden="false" customHeight="true" outlineLevel="0" collapsed="false">
      <c r="A49" s="42" t="n">
        <v>20</v>
      </c>
      <c r="B49" s="42"/>
      <c r="C49" s="43"/>
      <c r="D49" s="44"/>
      <c r="E49" s="45"/>
      <c r="F49" s="46"/>
      <c r="G49" s="47"/>
      <c r="H49" s="48" t="str">
        <f aca="false">IF(G49&gt;=90,"Xuất sắc",IF(G49&gt;=80,"Tốt",IF(G49&gt;=65,"Khá",IF(G49&gt;=50,"TB",""))))</f>
        <v/>
      </c>
      <c r="I49" s="4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  <c r="FS49" s="29"/>
      <c r="FT49" s="29"/>
      <c r="FU49" s="29"/>
      <c r="FV49" s="29"/>
      <c r="FW49" s="29"/>
      <c r="FX49" s="29"/>
      <c r="FY49" s="29"/>
      <c r="FZ49" s="29"/>
      <c r="GA49" s="29"/>
      <c r="GB49" s="29"/>
      <c r="GC49" s="29"/>
      <c r="GD49" s="29"/>
      <c r="GE49" s="29"/>
      <c r="GF49" s="29"/>
      <c r="GG49" s="29"/>
      <c r="GH49" s="29"/>
      <c r="GI49" s="29"/>
      <c r="GJ49" s="29"/>
      <c r="GK49" s="29"/>
      <c r="GL49" s="29"/>
      <c r="GM49" s="29"/>
      <c r="GN49" s="29"/>
      <c r="GO49" s="29"/>
      <c r="GP49" s="29"/>
      <c r="GQ49" s="29"/>
      <c r="GR49" s="29"/>
      <c r="GS49" s="29"/>
      <c r="GT49" s="29"/>
      <c r="GU49" s="29"/>
      <c r="GV49" s="29"/>
      <c r="GW49" s="29"/>
      <c r="GX49" s="29"/>
      <c r="GY49" s="29"/>
      <c r="GZ49" s="29"/>
      <c r="HA49" s="29"/>
      <c r="HB49" s="29"/>
      <c r="HC49" s="29"/>
      <c r="HD49" s="29"/>
      <c r="HE49" s="29"/>
      <c r="HF49" s="29"/>
      <c r="HG49" s="29"/>
      <c r="HH49" s="29"/>
      <c r="HI49" s="29"/>
      <c r="HJ49" s="29"/>
      <c r="HK49" s="29"/>
      <c r="HL49" s="29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/>
      <c r="IM49" s="29"/>
      <c r="IN49" s="29"/>
      <c r="IO49" s="29"/>
      <c r="IP49" s="29"/>
      <c r="IQ49" s="29"/>
      <c r="IR49" s="29"/>
      <c r="IS49" s="29"/>
      <c r="IT49" s="29"/>
      <c r="IU49" s="29"/>
      <c r="IV49" s="29"/>
      <c r="IW49" s="29"/>
    </row>
    <row r="50" customFormat="false" ht="25.5" hidden="false" customHeight="true" outlineLevel="0" collapsed="false">
      <c r="A50" s="42" t="n">
        <v>21</v>
      </c>
      <c r="B50" s="42"/>
      <c r="C50" s="43"/>
      <c r="D50" s="44"/>
      <c r="E50" s="45"/>
      <c r="F50" s="46"/>
      <c r="G50" s="47"/>
      <c r="H50" s="48" t="str">
        <f aca="false">IF(G50&gt;=90,"Xuất sắc",IF(G50&gt;=80,"Tốt",IF(G50&gt;=65,"Khá",IF(G50&gt;=50,"TB",""))))</f>
        <v/>
      </c>
      <c r="I50" s="4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  <c r="FS50" s="29"/>
      <c r="FT50" s="29"/>
      <c r="FU50" s="29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9"/>
      <c r="GO50" s="29"/>
      <c r="GP50" s="29"/>
      <c r="GQ50" s="29"/>
      <c r="GR50" s="29"/>
      <c r="GS50" s="29"/>
      <c r="GT50" s="29"/>
      <c r="GU50" s="29"/>
      <c r="GV50" s="29"/>
      <c r="GW50" s="29"/>
      <c r="GX50" s="29"/>
      <c r="GY50" s="29"/>
      <c r="GZ50" s="29"/>
      <c r="HA50" s="29"/>
      <c r="HB50" s="29"/>
      <c r="HC50" s="29"/>
      <c r="HD50" s="29"/>
      <c r="HE50" s="29"/>
      <c r="HF50" s="29"/>
      <c r="HG50" s="29"/>
      <c r="HH50" s="29"/>
      <c r="HI50" s="29"/>
      <c r="HJ50" s="29"/>
      <c r="HK50" s="29"/>
      <c r="HL50" s="29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/>
      <c r="IM50" s="29"/>
      <c r="IN50" s="29"/>
      <c r="IO50" s="29"/>
      <c r="IP50" s="29"/>
      <c r="IQ50" s="29"/>
      <c r="IR50" s="29"/>
      <c r="IS50" s="29"/>
      <c r="IT50" s="29"/>
      <c r="IU50" s="29"/>
      <c r="IV50" s="29"/>
      <c r="IW50" s="29"/>
    </row>
    <row r="51" customFormat="false" ht="25.5" hidden="false" customHeight="true" outlineLevel="0" collapsed="false">
      <c r="A51" s="42" t="n">
        <v>22</v>
      </c>
      <c r="B51" s="42"/>
      <c r="C51" s="43"/>
      <c r="D51" s="44"/>
      <c r="E51" s="45"/>
      <c r="F51" s="46"/>
      <c r="G51" s="47"/>
      <c r="H51" s="48" t="str">
        <f aca="false">IF(G51&gt;=90,"Xuất sắc",IF(G51&gt;=80,"Tốt",IF(G51&gt;=65,"Khá",IF(G51&gt;=50,"TB",""))))</f>
        <v/>
      </c>
      <c r="I51" s="4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/>
      <c r="GE51" s="29"/>
      <c r="GF51" s="29"/>
      <c r="GG51" s="29"/>
      <c r="GH51" s="29"/>
      <c r="GI51" s="29"/>
      <c r="GJ51" s="29"/>
      <c r="GK51" s="29"/>
      <c r="GL51" s="29"/>
      <c r="GM51" s="29"/>
      <c r="GN51" s="29"/>
      <c r="GO51" s="29"/>
      <c r="GP51" s="29"/>
      <c r="GQ51" s="29"/>
      <c r="GR51" s="29"/>
      <c r="GS51" s="29"/>
      <c r="GT51" s="29"/>
      <c r="GU51" s="29"/>
      <c r="GV51" s="29"/>
      <c r="GW51" s="29"/>
      <c r="GX51" s="29"/>
      <c r="GY51" s="29"/>
      <c r="GZ51" s="29"/>
      <c r="HA51" s="29"/>
      <c r="HB51" s="29"/>
      <c r="HC51" s="29"/>
      <c r="HD51" s="29"/>
      <c r="HE51" s="29"/>
      <c r="HF51" s="29"/>
      <c r="HG51" s="29"/>
      <c r="HH51" s="29"/>
      <c r="HI51" s="29"/>
      <c r="HJ51" s="29"/>
      <c r="HK51" s="29"/>
      <c r="HL51" s="29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/>
      <c r="IM51" s="29"/>
      <c r="IN51" s="29"/>
      <c r="IO51" s="29"/>
      <c r="IP51" s="29"/>
      <c r="IQ51" s="29"/>
      <c r="IR51" s="29"/>
      <c r="IS51" s="29"/>
      <c r="IT51" s="29"/>
      <c r="IU51" s="29"/>
      <c r="IV51" s="29"/>
      <c r="IW51" s="29"/>
    </row>
    <row r="52" customFormat="false" ht="25.5" hidden="false" customHeight="true" outlineLevel="0" collapsed="false">
      <c r="A52" s="42" t="n">
        <v>23</v>
      </c>
      <c r="B52" s="42"/>
      <c r="C52" s="43"/>
      <c r="D52" s="44"/>
      <c r="E52" s="45"/>
      <c r="F52" s="46"/>
      <c r="G52" s="47"/>
      <c r="H52" s="48" t="str">
        <f aca="false">IF(G52&gt;=90,"Xuất sắc",IF(G52&gt;=80,"Tốt",IF(G52&gt;=65,"Khá",IF(G52&gt;=50,"TB",""))))</f>
        <v/>
      </c>
      <c r="I52" s="4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/>
      <c r="GE52" s="29"/>
      <c r="GF52" s="29"/>
      <c r="GG52" s="29"/>
      <c r="GH52" s="29"/>
      <c r="GI52" s="29"/>
      <c r="GJ52" s="29"/>
      <c r="GK52" s="29"/>
      <c r="GL52" s="29"/>
      <c r="GM52" s="29"/>
      <c r="GN52" s="29"/>
      <c r="GO52" s="29"/>
      <c r="GP52" s="29"/>
      <c r="GQ52" s="29"/>
      <c r="GR52" s="29"/>
      <c r="GS52" s="29"/>
      <c r="GT52" s="29"/>
      <c r="GU52" s="29"/>
      <c r="GV52" s="29"/>
      <c r="GW52" s="29"/>
      <c r="GX52" s="29"/>
      <c r="GY52" s="29"/>
      <c r="GZ52" s="29"/>
      <c r="HA52" s="29"/>
      <c r="HB52" s="29"/>
      <c r="HC52" s="29"/>
      <c r="HD52" s="29"/>
      <c r="HE52" s="29"/>
      <c r="HF52" s="29"/>
      <c r="HG52" s="29"/>
      <c r="HH52" s="29"/>
      <c r="HI52" s="29"/>
      <c r="HJ52" s="29"/>
      <c r="HK52" s="29"/>
      <c r="HL52" s="29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/>
      <c r="IM52" s="29"/>
      <c r="IN52" s="29"/>
      <c r="IO52" s="29"/>
      <c r="IP52" s="29"/>
      <c r="IQ52" s="29"/>
      <c r="IR52" s="29"/>
      <c r="IS52" s="29"/>
      <c r="IT52" s="29"/>
      <c r="IU52" s="29"/>
      <c r="IV52" s="29"/>
      <c r="IW52" s="29"/>
    </row>
    <row r="53" customFormat="false" ht="25.5" hidden="false" customHeight="true" outlineLevel="0" collapsed="false">
      <c r="A53" s="42" t="n">
        <v>24</v>
      </c>
      <c r="B53" s="42"/>
      <c r="C53" s="43"/>
      <c r="D53" s="44"/>
      <c r="E53" s="45"/>
      <c r="F53" s="46"/>
      <c r="G53" s="47"/>
      <c r="H53" s="48" t="str">
        <f aca="false">IF(G53&gt;=90,"Xuất sắc",IF(G53&gt;=80,"Tốt",IF(G53&gt;=65,"Khá",IF(G53&gt;=50,"TB",""))))</f>
        <v/>
      </c>
      <c r="I53" s="4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T53" s="29"/>
      <c r="GU53" s="29"/>
      <c r="GV53" s="29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  <c r="IS53" s="29"/>
      <c r="IT53" s="29"/>
      <c r="IU53" s="29"/>
      <c r="IV53" s="29"/>
      <c r="IW53" s="29"/>
    </row>
    <row r="54" customFormat="false" ht="25.5" hidden="false" customHeight="true" outlineLevel="0" collapsed="false">
      <c r="A54" s="42" t="n">
        <v>25</v>
      </c>
      <c r="B54" s="42"/>
      <c r="C54" s="43"/>
      <c r="D54" s="44"/>
      <c r="E54" s="45"/>
      <c r="F54" s="46"/>
      <c r="G54" s="47"/>
      <c r="H54" s="48" t="str">
        <f aca="false">IF(G54&gt;=90,"Xuất sắc",IF(G54&gt;=80,"Tốt",IF(G54&gt;=65,"Khá",IF(G54&gt;=50,"TB",""))))</f>
        <v/>
      </c>
      <c r="I54" s="4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  <c r="FS54" s="29"/>
      <c r="FT54" s="29"/>
      <c r="FU54" s="29"/>
      <c r="FV54" s="29"/>
      <c r="FW54" s="29"/>
      <c r="FX54" s="29"/>
      <c r="FY54" s="29"/>
      <c r="FZ54" s="29"/>
      <c r="GA54" s="29"/>
      <c r="GB54" s="29"/>
      <c r="GC54" s="29"/>
      <c r="GD54" s="29"/>
      <c r="GE54" s="29"/>
      <c r="GF54" s="29"/>
      <c r="GG54" s="29"/>
      <c r="GH54" s="29"/>
      <c r="GI54" s="29"/>
      <c r="GJ54" s="29"/>
      <c r="GK54" s="29"/>
      <c r="GL54" s="29"/>
      <c r="GM54" s="29"/>
      <c r="GN54" s="29"/>
      <c r="GO54" s="29"/>
      <c r="GP54" s="29"/>
      <c r="GQ54" s="29"/>
      <c r="GR54" s="29"/>
      <c r="GS54" s="29"/>
      <c r="GT54" s="29"/>
      <c r="GU54" s="29"/>
      <c r="GV54" s="29"/>
      <c r="GW54" s="29"/>
      <c r="GX54" s="29"/>
      <c r="GY54" s="29"/>
      <c r="GZ54" s="29"/>
      <c r="HA54" s="29"/>
      <c r="HB54" s="29"/>
      <c r="HC54" s="29"/>
      <c r="HD54" s="29"/>
      <c r="HE54" s="29"/>
      <c r="HF54" s="29"/>
      <c r="HG54" s="29"/>
      <c r="HH54" s="29"/>
      <c r="HI54" s="29"/>
      <c r="HJ54" s="29"/>
      <c r="HK54" s="29"/>
      <c r="HL54" s="29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/>
      <c r="IM54" s="29"/>
      <c r="IN54" s="29"/>
      <c r="IO54" s="29"/>
      <c r="IP54" s="29"/>
      <c r="IQ54" s="29"/>
      <c r="IR54" s="29"/>
      <c r="IS54" s="29"/>
      <c r="IT54" s="29"/>
      <c r="IU54" s="29"/>
      <c r="IV54" s="29"/>
      <c r="IW54" s="29"/>
    </row>
    <row r="55" customFormat="false" ht="25.5" hidden="false" customHeight="true" outlineLevel="0" collapsed="false">
      <c r="A55" s="42" t="n">
        <v>26</v>
      </c>
      <c r="B55" s="42"/>
      <c r="C55" s="43"/>
      <c r="D55" s="44"/>
      <c r="E55" s="45"/>
      <c r="F55" s="46"/>
      <c r="G55" s="47"/>
      <c r="H55" s="48" t="str">
        <f aca="false">IF(G55&gt;=90,"Xuất sắc",IF(G55&gt;=80,"Tốt",IF(G55&gt;=65,"Khá",IF(G55&gt;=50,"TB",""))))</f>
        <v/>
      </c>
      <c r="I55" s="4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  <c r="FS55" s="29"/>
      <c r="FT55" s="29"/>
      <c r="FU55" s="29"/>
      <c r="FV55" s="29"/>
      <c r="FW55" s="29"/>
      <c r="FX55" s="29"/>
      <c r="FY55" s="29"/>
      <c r="FZ55" s="29"/>
      <c r="GA55" s="29"/>
      <c r="GB55" s="29"/>
      <c r="GC55" s="29"/>
      <c r="GD55" s="29"/>
      <c r="GE55" s="29"/>
      <c r="GF55" s="29"/>
      <c r="GG55" s="29"/>
      <c r="GH55" s="29"/>
      <c r="GI55" s="29"/>
      <c r="GJ55" s="29"/>
      <c r="GK55" s="29"/>
      <c r="GL55" s="29"/>
      <c r="GM55" s="29"/>
      <c r="GN55" s="29"/>
      <c r="GO55" s="29"/>
      <c r="GP55" s="29"/>
      <c r="GQ55" s="29"/>
      <c r="GR55" s="29"/>
      <c r="GS55" s="29"/>
      <c r="GT55" s="29"/>
      <c r="GU55" s="29"/>
      <c r="GV55" s="29"/>
      <c r="GW55" s="29"/>
      <c r="GX55" s="29"/>
      <c r="GY55" s="29"/>
      <c r="GZ55" s="29"/>
      <c r="HA55" s="29"/>
      <c r="HB55" s="29"/>
      <c r="HC55" s="29"/>
      <c r="HD55" s="29"/>
      <c r="HE55" s="29"/>
      <c r="HF55" s="29"/>
      <c r="HG55" s="29"/>
      <c r="HH55" s="29"/>
      <c r="HI55" s="29"/>
      <c r="HJ55" s="29"/>
      <c r="HK55" s="29"/>
      <c r="HL55" s="29"/>
      <c r="HM55" s="29"/>
      <c r="HN55" s="29"/>
      <c r="HO55" s="29"/>
      <c r="HP55" s="29"/>
      <c r="HQ55" s="29"/>
      <c r="HR55" s="29"/>
      <c r="HS55" s="29"/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  <c r="IF55" s="29"/>
      <c r="IG55" s="29"/>
      <c r="IH55" s="29"/>
      <c r="II55" s="29"/>
      <c r="IJ55" s="29"/>
      <c r="IK55" s="29"/>
      <c r="IL55" s="29"/>
      <c r="IM55" s="29"/>
      <c r="IN55" s="29"/>
      <c r="IO55" s="29"/>
      <c r="IP55" s="29"/>
      <c r="IQ55" s="29"/>
      <c r="IR55" s="29"/>
      <c r="IS55" s="29"/>
      <c r="IT55" s="29"/>
      <c r="IU55" s="29"/>
      <c r="IV55" s="29"/>
      <c r="IW55" s="29"/>
    </row>
    <row r="56" customFormat="false" ht="25.5" hidden="false" customHeight="true" outlineLevel="0" collapsed="false">
      <c r="A56" s="42" t="n">
        <v>27</v>
      </c>
      <c r="B56" s="42"/>
      <c r="C56" s="43"/>
      <c r="D56" s="44"/>
      <c r="E56" s="45"/>
      <c r="F56" s="46"/>
      <c r="G56" s="47"/>
      <c r="H56" s="48" t="str">
        <f aca="false">IF(G56&gt;=90,"Xuất sắc",IF(G56&gt;=80,"Tốt",IF(G56&gt;=65,"Khá",IF(G56&gt;=50,"TB",""))))</f>
        <v/>
      </c>
      <c r="I56" s="4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29"/>
      <c r="FQ56" s="29"/>
      <c r="FR56" s="29"/>
      <c r="FS56" s="29"/>
      <c r="FT56" s="29"/>
      <c r="FU56" s="29"/>
      <c r="FV56" s="29"/>
      <c r="FW56" s="29"/>
      <c r="FX56" s="29"/>
      <c r="FY56" s="29"/>
      <c r="FZ56" s="29"/>
      <c r="GA56" s="29"/>
      <c r="GB56" s="29"/>
      <c r="GC56" s="29"/>
      <c r="GD56" s="29"/>
      <c r="GE56" s="29"/>
      <c r="GF56" s="29"/>
      <c r="GG56" s="29"/>
      <c r="GH56" s="29"/>
      <c r="GI56" s="29"/>
      <c r="GJ56" s="29"/>
      <c r="GK56" s="29"/>
      <c r="GL56" s="29"/>
      <c r="GM56" s="29"/>
      <c r="GN56" s="29"/>
      <c r="GO56" s="29"/>
      <c r="GP56" s="29"/>
      <c r="GQ56" s="29"/>
      <c r="GR56" s="29"/>
      <c r="GS56" s="29"/>
      <c r="GT56" s="29"/>
      <c r="GU56" s="29"/>
      <c r="GV56" s="29"/>
      <c r="GW56" s="29"/>
      <c r="GX56" s="29"/>
      <c r="GY56" s="29"/>
      <c r="GZ56" s="29"/>
      <c r="HA56" s="29"/>
      <c r="HB56" s="29"/>
      <c r="HC56" s="29"/>
      <c r="HD56" s="29"/>
      <c r="HE56" s="29"/>
      <c r="HF56" s="29"/>
      <c r="HG56" s="29"/>
      <c r="HH56" s="29"/>
      <c r="HI56" s="29"/>
      <c r="HJ56" s="29"/>
      <c r="HK56" s="29"/>
      <c r="HL56" s="29"/>
      <c r="HM56" s="29"/>
      <c r="HN56" s="29"/>
      <c r="HO56" s="29"/>
      <c r="HP56" s="29"/>
      <c r="HQ56" s="29"/>
      <c r="HR56" s="29"/>
      <c r="HS56" s="29"/>
      <c r="HT56" s="29"/>
      <c r="HU56" s="29"/>
      <c r="HV56" s="29"/>
      <c r="HW56" s="29"/>
      <c r="HX56" s="29"/>
      <c r="HY56" s="29"/>
      <c r="HZ56" s="29"/>
      <c r="IA56" s="29"/>
      <c r="IB56" s="29"/>
      <c r="IC56" s="29"/>
      <c r="ID56" s="29"/>
      <c r="IE56" s="29"/>
      <c r="IF56" s="29"/>
      <c r="IG56" s="29"/>
      <c r="IH56" s="29"/>
      <c r="II56" s="29"/>
      <c r="IJ56" s="29"/>
      <c r="IK56" s="29"/>
      <c r="IL56" s="29"/>
      <c r="IM56" s="29"/>
      <c r="IN56" s="29"/>
      <c r="IO56" s="29"/>
      <c r="IP56" s="29"/>
      <c r="IQ56" s="29"/>
      <c r="IR56" s="29"/>
      <c r="IS56" s="29"/>
      <c r="IT56" s="29"/>
      <c r="IU56" s="29"/>
      <c r="IV56" s="29"/>
      <c r="IW56" s="29"/>
    </row>
    <row r="57" customFormat="false" ht="25.5" hidden="false" customHeight="true" outlineLevel="0" collapsed="false">
      <c r="A57" s="42" t="n">
        <v>28</v>
      </c>
      <c r="B57" s="42"/>
      <c r="C57" s="43"/>
      <c r="D57" s="44"/>
      <c r="E57" s="45"/>
      <c r="F57" s="46"/>
      <c r="G57" s="47"/>
      <c r="H57" s="48" t="str">
        <f aca="false">IF(G57&gt;=90,"Xuất sắc",IF(G57&gt;=80,"Tốt",IF(G57&gt;=65,"Khá",IF(G57&gt;=50,"TB",""))))</f>
        <v/>
      </c>
      <c r="I57" s="4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29"/>
      <c r="FQ57" s="29"/>
      <c r="FR57" s="29"/>
      <c r="FS57" s="29"/>
      <c r="FT57" s="29"/>
      <c r="FU57" s="29"/>
      <c r="FV57" s="29"/>
      <c r="FW57" s="29"/>
      <c r="FX57" s="29"/>
      <c r="FY57" s="29"/>
      <c r="FZ57" s="29"/>
      <c r="GA57" s="29"/>
      <c r="GB57" s="29"/>
      <c r="GC57" s="29"/>
      <c r="GD57" s="29"/>
      <c r="GE57" s="29"/>
      <c r="GF57" s="29"/>
      <c r="GG57" s="29"/>
      <c r="GH57" s="29"/>
      <c r="GI57" s="29"/>
      <c r="GJ57" s="29"/>
      <c r="GK57" s="29"/>
      <c r="GL57" s="29"/>
      <c r="GM57" s="29"/>
      <c r="GN57" s="29"/>
      <c r="GO57" s="29"/>
      <c r="GP57" s="29"/>
      <c r="GQ57" s="29"/>
      <c r="GR57" s="29"/>
      <c r="GS57" s="29"/>
      <c r="GT57" s="29"/>
      <c r="GU57" s="29"/>
      <c r="GV57" s="29"/>
      <c r="GW57" s="29"/>
      <c r="GX57" s="29"/>
      <c r="GY57" s="29"/>
      <c r="GZ57" s="29"/>
      <c r="HA57" s="29"/>
      <c r="HB57" s="29"/>
      <c r="HC57" s="29"/>
      <c r="HD57" s="29"/>
      <c r="HE57" s="29"/>
      <c r="HF57" s="29"/>
      <c r="HG57" s="29"/>
      <c r="HH57" s="29"/>
      <c r="HI57" s="29"/>
      <c r="HJ57" s="29"/>
      <c r="HK57" s="29"/>
      <c r="HL57" s="29"/>
      <c r="HM57" s="29"/>
      <c r="HN57" s="29"/>
      <c r="HO57" s="29"/>
      <c r="HP57" s="29"/>
      <c r="HQ57" s="29"/>
      <c r="HR57" s="29"/>
      <c r="HS57" s="29"/>
      <c r="HT57" s="29"/>
      <c r="HU57" s="29"/>
      <c r="HV57" s="29"/>
      <c r="HW57" s="29"/>
      <c r="HX57" s="29"/>
      <c r="HY57" s="29"/>
      <c r="HZ57" s="29"/>
      <c r="IA57" s="29"/>
      <c r="IB57" s="29"/>
      <c r="IC57" s="29"/>
      <c r="ID57" s="29"/>
      <c r="IE57" s="29"/>
      <c r="IF57" s="29"/>
      <c r="IG57" s="29"/>
      <c r="IH57" s="29"/>
      <c r="II57" s="29"/>
      <c r="IJ57" s="29"/>
      <c r="IK57" s="29"/>
      <c r="IL57" s="29"/>
      <c r="IM57" s="29"/>
      <c r="IN57" s="29"/>
      <c r="IO57" s="29"/>
      <c r="IP57" s="29"/>
      <c r="IQ57" s="29"/>
      <c r="IR57" s="29"/>
      <c r="IS57" s="29"/>
      <c r="IT57" s="29"/>
      <c r="IU57" s="29"/>
      <c r="IV57" s="29"/>
      <c r="IW57" s="29"/>
    </row>
    <row r="58" customFormat="false" ht="25.5" hidden="false" customHeight="true" outlineLevel="0" collapsed="false">
      <c r="A58" s="42" t="n">
        <v>29</v>
      </c>
      <c r="B58" s="42"/>
      <c r="C58" s="43"/>
      <c r="D58" s="44"/>
      <c r="E58" s="45"/>
      <c r="F58" s="46"/>
      <c r="G58" s="47"/>
      <c r="H58" s="48" t="str">
        <f aca="false">IF(G58&gt;=90,"Xuất sắc",IF(G58&gt;=80,"Tốt",IF(G58&gt;=65,"Khá",IF(G58&gt;=50,"TB",""))))</f>
        <v/>
      </c>
      <c r="I58" s="4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  <c r="FD58" s="29"/>
      <c r="FE58" s="29"/>
      <c r="FF58" s="29"/>
      <c r="FG58" s="29"/>
      <c r="FH58" s="29"/>
      <c r="FI58" s="29"/>
      <c r="FJ58" s="29"/>
      <c r="FK58" s="29"/>
      <c r="FL58" s="29"/>
      <c r="FM58" s="29"/>
      <c r="FN58" s="29"/>
      <c r="FO58" s="29"/>
      <c r="FP58" s="29"/>
      <c r="FQ58" s="29"/>
      <c r="FR58" s="29"/>
      <c r="FS58" s="29"/>
      <c r="FT58" s="29"/>
      <c r="FU58" s="29"/>
      <c r="FV58" s="29"/>
      <c r="FW58" s="29"/>
      <c r="FX58" s="29"/>
      <c r="FY58" s="29"/>
      <c r="FZ58" s="29"/>
      <c r="GA58" s="29"/>
      <c r="GB58" s="29"/>
      <c r="GC58" s="29"/>
      <c r="GD58" s="29"/>
      <c r="GE58" s="29"/>
      <c r="GF58" s="29"/>
      <c r="GG58" s="29"/>
      <c r="GH58" s="29"/>
      <c r="GI58" s="29"/>
      <c r="GJ58" s="29"/>
      <c r="GK58" s="29"/>
      <c r="GL58" s="29"/>
      <c r="GM58" s="29"/>
      <c r="GN58" s="29"/>
      <c r="GO58" s="29"/>
      <c r="GP58" s="29"/>
      <c r="GQ58" s="29"/>
      <c r="GR58" s="29"/>
      <c r="GS58" s="29"/>
      <c r="GT58" s="29"/>
      <c r="GU58" s="29"/>
      <c r="GV58" s="29"/>
      <c r="GW58" s="29"/>
      <c r="GX58" s="29"/>
      <c r="GY58" s="29"/>
      <c r="GZ58" s="29"/>
      <c r="HA58" s="29"/>
      <c r="HB58" s="29"/>
      <c r="HC58" s="29"/>
      <c r="HD58" s="29"/>
      <c r="HE58" s="29"/>
      <c r="HF58" s="29"/>
      <c r="HG58" s="29"/>
      <c r="HH58" s="29"/>
      <c r="HI58" s="29"/>
      <c r="HJ58" s="29"/>
      <c r="HK58" s="29"/>
      <c r="HL58" s="29"/>
      <c r="HM58" s="29"/>
      <c r="HN58" s="29"/>
      <c r="HO58" s="29"/>
      <c r="HP58" s="29"/>
      <c r="HQ58" s="29"/>
      <c r="HR58" s="29"/>
      <c r="HS58" s="29"/>
      <c r="HT58" s="29"/>
      <c r="HU58" s="29"/>
      <c r="HV58" s="29"/>
      <c r="HW58" s="29"/>
      <c r="HX58" s="29"/>
      <c r="HY58" s="29"/>
      <c r="HZ58" s="29"/>
      <c r="IA58" s="29"/>
      <c r="IB58" s="29"/>
      <c r="IC58" s="29"/>
      <c r="ID58" s="29"/>
      <c r="IE58" s="29"/>
      <c r="IF58" s="29"/>
      <c r="IG58" s="29"/>
      <c r="IH58" s="29"/>
      <c r="II58" s="29"/>
      <c r="IJ58" s="29"/>
      <c r="IK58" s="29"/>
      <c r="IL58" s="29"/>
      <c r="IM58" s="29"/>
      <c r="IN58" s="29"/>
      <c r="IO58" s="29"/>
      <c r="IP58" s="29"/>
      <c r="IQ58" s="29"/>
      <c r="IR58" s="29"/>
      <c r="IS58" s="29"/>
      <c r="IT58" s="29"/>
      <c r="IU58" s="29"/>
      <c r="IV58" s="29"/>
      <c r="IW58" s="29"/>
    </row>
    <row r="59" customFormat="false" ht="25.5" hidden="false" customHeight="true" outlineLevel="0" collapsed="false">
      <c r="A59" s="42" t="n">
        <v>30</v>
      </c>
      <c r="B59" s="42"/>
      <c r="C59" s="43"/>
      <c r="D59" s="44"/>
      <c r="E59" s="45"/>
      <c r="F59" s="46"/>
      <c r="G59" s="47"/>
      <c r="H59" s="48" t="str">
        <f aca="false">IF(G59&gt;=90,"Xuất sắc",IF(G59&gt;=80,"Tốt",IF(G59&gt;=65,"Khá",IF(G59&gt;=50,"TB",""))))</f>
        <v/>
      </c>
      <c r="I59" s="4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29"/>
      <c r="FI59" s="29"/>
      <c r="FJ59" s="29"/>
      <c r="FK59" s="29"/>
      <c r="FL59" s="29"/>
      <c r="FM59" s="29"/>
      <c r="FN59" s="29"/>
      <c r="FO59" s="29"/>
      <c r="FP59" s="29"/>
      <c r="FQ59" s="29"/>
      <c r="FR59" s="29"/>
      <c r="FS59" s="29"/>
      <c r="FT59" s="29"/>
      <c r="FU59" s="29"/>
      <c r="FV59" s="29"/>
      <c r="FW59" s="29"/>
      <c r="FX59" s="29"/>
      <c r="FY59" s="29"/>
      <c r="FZ59" s="29"/>
      <c r="GA59" s="29"/>
      <c r="GB59" s="29"/>
      <c r="GC59" s="29"/>
      <c r="GD59" s="29"/>
      <c r="GE59" s="29"/>
      <c r="GF59" s="29"/>
      <c r="GG59" s="29"/>
      <c r="GH59" s="29"/>
      <c r="GI59" s="29"/>
      <c r="GJ59" s="29"/>
      <c r="GK59" s="29"/>
      <c r="GL59" s="29"/>
      <c r="GM59" s="29"/>
      <c r="GN59" s="29"/>
      <c r="GO59" s="29"/>
      <c r="GP59" s="29"/>
      <c r="GQ59" s="29"/>
      <c r="GR59" s="29"/>
      <c r="GS59" s="29"/>
      <c r="GT59" s="29"/>
      <c r="GU59" s="29"/>
      <c r="GV59" s="29"/>
      <c r="GW59" s="29"/>
      <c r="GX59" s="29"/>
      <c r="GY59" s="29"/>
      <c r="GZ59" s="29"/>
      <c r="HA59" s="29"/>
      <c r="HB59" s="29"/>
      <c r="HC59" s="29"/>
      <c r="HD59" s="29"/>
      <c r="HE59" s="29"/>
      <c r="HF59" s="29"/>
      <c r="HG59" s="29"/>
      <c r="HH59" s="29"/>
      <c r="HI59" s="29"/>
      <c r="HJ59" s="29"/>
      <c r="HK59" s="29"/>
      <c r="HL59" s="29"/>
      <c r="HM59" s="29"/>
      <c r="HN59" s="29"/>
      <c r="HO59" s="29"/>
      <c r="HP59" s="29"/>
      <c r="HQ59" s="29"/>
      <c r="HR59" s="29"/>
      <c r="HS59" s="29"/>
      <c r="HT59" s="29"/>
      <c r="HU59" s="29"/>
      <c r="HV59" s="29"/>
      <c r="HW59" s="29"/>
      <c r="HX59" s="29"/>
      <c r="HY59" s="29"/>
      <c r="HZ59" s="29"/>
      <c r="IA59" s="29"/>
      <c r="IB59" s="29"/>
      <c r="IC59" s="29"/>
      <c r="ID59" s="29"/>
      <c r="IE59" s="29"/>
      <c r="IF59" s="29"/>
      <c r="IG59" s="29"/>
      <c r="IH59" s="29"/>
      <c r="II59" s="29"/>
      <c r="IJ59" s="29"/>
      <c r="IK59" s="29"/>
      <c r="IL59" s="29"/>
      <c r="IM59" s="29"/>
      <c r="IN59" s="29"/>
      <c r="IO59" s="29"/>
      <c r="IP59" s="29"/>
      <c r="IQ59" s="29"/>
      <c r="IR59" s="29"/>
      <c r="IS59" s="29"/>
      <c r="IT59" s="29"/>
      <c r="IU59" s="29"/>
      <c r="IV59" s="29"/>
      <c r="IW59" s="29"/>
    </row>
    <row r="60" customFormat="false" ht="25.5" hidden="false" customHeight="true" outlineLevel="0" collapsed="false">
      <c r="A60" s="42" t="n">
        <v>31</v>
      </c>
      <c r="B60" s="42"/>
      <c r="C60" s="43"/>
      <c r="D60" s="44"/>
      <c r="E60" s="45"/>
      <c r="F60" s="46"/>
      <c r="G60" s="47"/>
      <c r="H60" s="48" t="str">
        <f aca="false">IF(G60&gt;=90,"Xuất sắc",IF(G60&gt;=80,"Tốt",IF(G60&gt;=65,"Khá",IF(G60&gt;=50,"TB",""))))</f>
        <v/>
      </c>
      <c r="I60" s="4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29"/>
      <c r="FQ60" s="29"/>
      <c r="FR60" s="29"/>
      <c r="FS60" s="29"/>
      <c r="FT60" s="29"/>
      <c r="FU60" s="29"/>
      <c r="FV60" s="29"/>
      <c r="FW60" s="29"/>
      <c r="FX60" s="29"/>
      <c r="FY60" s="29"/>
      <c r="FZ60" s="29"/>
      <c r="GA60" s="29"/>
      <c r="GB60" s="29"/>
      <c r="GC60" s="29"/>
      <c r="GD60" s="29"/>
      <c r="GE60" s="29"/>
      <c r="GF60" s="29"/>
      <c r="GG60" s="29"/>
      <c r="GH60" s="29"/>
      <c r="GI60" s="29"/>
      <c r="GJ60" s="29"/>
      <c r="GK60" s="29"/>
      <c r="GL60" s="29"/>
      <c r="GM60" s="29"/>
      <c r="GN60" s="29"/>
      <c r="GO60" s="29"/>
      <c r="GP60" s="29"/>
      <c r="GQ60" s="29"/>
      <c r="GR60" s="29"/>
      <c r="GS60" s="29"/>
      <c r="GT60" s="29"/>
      <c r="GU60" s="29"/>
      <c r="GV60" s="29"/>
      <c r="GW60" s="29"/>
      <c r="GX60" s="29"/>
      <c r="GY60" s="29"/>
      <c r="GZ60" s="29"/>
      <c r="HA60" s="29"/>
      <c r="HB60" s="29"/>
      <c r="HC60" s="29"/>
      <c r="HD60" s="29"/>
      <c r="HE60" s="29"/>
      <c r="HF60" s="29"/>
      <c r="HG60" s="29"/>
      <c r="HH60" s="29"/>
      <c r="HI60" s="29"/>
      <c r="HJ60" s="29"/>
      <c r="HK60" s="29"/>
      <c r="HL60" s="29"/>
      <c r="HM60" s="29"/>
      <c r="HN60" s="29"/>
      <c r="HO60" s="29"/>
      <c r="HP60" s="29"/>
      <c r="HQ60" s="29"/>
      <c r="HR60" s="29"/>
      <c r="HS60" s="29"/>
      <c r="HT60" s="29"/>
      <c r="HU60" s="29"/>
      <c r="HV60" s="29"/>
      <c r="HW60" s="29"/>
      <c r="HX60" s="29"/>
      <c r="HY60" s="29"/>
      <c r="HZ60" s="29"/>
      <c r="IA60" s="29"/>
      <c r="IB60" s="29"/>
      <c r="IC60" s="29"/>
      <c r="ID60" s="29"/>
      <c r="IE60" s="29"/>
      <c r="IF60" s="29"/>
      <c r="IG60" s="29"/>
      <c r="IH60" s="29"/>
      <c r="II60" s="29"/>
      <c r="IJ60" s="29"/>
      <c r="IK60" s="29"/>
      <c r="IL60" s="29"/>
      <c r="IM60" s="29"/>
      <c r="IN60" s="29"/>
      <c r="IO60" s="29"/>
      <c r="IP60" s="29"/>
      <c r="IQ60" s="29"/>
      <c r="IR60" s="29"/>
      <c r="IS60" s="29"/>
      <c r="IT60" s="29"/>
      <c r="IU60" s="29"/>
      <c r="IV60" s="29"/>
      <c r="IW60" s="29"/>
    </row>
    <row r="61" customFormat="false" ht="25.5" hidden="false" customHeight="true" outlineLevel="0" collapsed="false">
      <c r="A61" s="42" t="n">
        <v>32</v>
      </c>
      <c r="B61" s="42"/>
      <c r="C61" s="43"/>
      <c r="D61" s="44"/>
      <c r="E61" s="45"/>
      <c r="F61" s="46"/>
      <c r="G61" s="47"/>
      <c r="H61" s="48" t="str">
        <f aca="false">IF(G61&gt;=90,"Xuất sắc",IF(G61&gt;=80,"Tốt",IF(G61&gt;=65,"Khá",IF(G61&gt;=50,"TB",""))))</f>
        <v/>
      </c>
      <c r="I61" s="4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  <c r="FS61" s="29"/>
      <c r="FT61" s="29"/>
      <c r="FU61" s="29"/>
      <c r="FV61" s="29"/>
      <c r="FW61" s="29"/>
      <c r="FX61" s="29"/>
      <c r="FY61" s="29"/>
      <c r="FZ61" s="29"/>
      <c r="GA61" s="29"/>
      <c r="GB61" s="29"/>
      <c r="GC61" s="29"/>
      <c r="GD61" s="29"/>
      <c r="GE61" s="29"/>
      <c r="GF61" s="29"/>
      <c r="GG61" s="29"/>
      <c r="GH61" s="29"/>
      <c r="GI61" s="29"/>
      <c r="GJ61" s="29"/>
      <c r="GK61" s="29"/>
      <c r="GL61" s="29"/>
      <c r="GM61" s="29"/>
      <c r="GN61" s="29"/>
      <c r="GO61" s="29"/>
      <c r="GP61" s="29"/>
      <c r="GQ61" s="29"/>
      <c r="GR61" s="29"/>
      <c r="GS61" s="29"/>
      <c r="GT61" s="29"/>
      <c r="GU61" s="29"/>
      <c r="GV61" s="29"/>
      <c r="GW61" s="29"/>
      <c r="GX61" s="29"/>
      <c r="GY61" s="29"/>
      <c r="GZ61" s="29"/>
      <c r="HA61" s="29"/>
      <c r="HB61" s="29"/>
      <c r="HC61" s="29"/>
      <c r="HD61" s="29"/>
      <c r="HE61" s="29"/>
      <c r="HF61" s="29"/>
      <c r="HG61" s="29"/>
      <c r="HH61" s="29"/>
      <c r="HI61" s="29"/>
      <c r="HJ61" s="29"/>
      <c r="HK61" s="29"/>
      <c r="HL61" s="29"/>
      <c r="HM61" s="29"/>
      <c r="HN61" s="29"/>
      <c r="HO61" s="29"/>
      <c r="HP61" s="29"/>
      <c r="HQ61" s="29"/>
      <c r="HR61" s="29"/>
      <c r="HS61" s="29"/>
      <c r="HT61" s="29"/>
      <c r="HU61" s="29"/>
      <c r="HV61" s="29"/>
      <c r="HW61" s="29"/>
      <c r="HX61" s="29"/>
      <c r="HY61" s="29"/>
      <c r="HZ61" s="29"/>
      <c r="IA61" s="29"/>
      <c r="IB61" s="29"/>
      <c r="IC61" s="29"/>
      <c r="ID61" s="29"/>
      <c r="IE61" s="29"/>
      <c r="IF61" s="29"/>
      <c r="IG61" s="29"/>
      <c r="IH61" s="29"/>
      <c r="II61" s="29"/>
      <c r="IJ61" s="29"/>
      <c r="IK61" s="29"/>
      <c r="IL61" s="29"/>
      <c r="IM61" s="29"/>
      <c r="IN61" s="29"/>
      <c r="IO61" s="29"/>
      <c r="IP61" s="29"/>
      <c r="IQ61" s="29"/>
      <c r="IR61" s="29"/>
      <c r="IS61" s="29"/>
      <c r="IT61" s="29"/>
      <c r="IU61" s="29"/>
      <c r="IV61" s="29"/>
      <c r="IW61" s="29"/>
    </row>
    <row r="62" customFormat="false" ht="25.5" hidden="false" customHeight="true" outlineLevel="0" collapsed="false">
      <c r="A62" s="42" t="n">
        <v>33</v>
      </c>
      <c r="B62" s="42"/>
      <c r="C62" s="43"/>
      <c r="D62" s="44"/>
      <c r="E62" s="45"/>
      <c r="F62" s="46"/>
      <c r="G62" s="47"/>
      <c r="H62" s="48" t="str">
        <f aca="false">IF(G62&gt;=90,"Xuất sắc",IF(G62&gt;=80,"Tốt",IF(G62&gt;=65,"Khá",IF(G62&gt;=50,"TB",""))))</f>
        <v/>
      </c>
      <c r="I62" s="4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  <c r="FS62" s="29"/>
      <c r="FT62" s="29"/>
      <c r="FU62" s="29"/>
      <c r="FV62" s="29"/>
      <c r="FW62" s="29"/>
      <c r="FX62" s="29"/>
      <c r="FY62" s="29"/>
      <c r="FZ62" s="29"/>
      <c r="GA62" s="29"/>
      <c r="GB62" s="29"/>
      <c r="GC62" s="29"/>
      <c r="GD62" s="29"/>
      <c r="GE62" s="29"/>
      <c r="GF62" s="29"/>
      <c r="GG62" s="29"/>
      <c r="GH62" s="29"/>
      <c r="GI62" s="29"/>
      <c r="GJ62" s="29"/>
      <c r="GK62" s="29"/>
      <c r="GL62" s="29"/>
      <c r="GM62" s="29"/>
      <c r="GN62" s="29"/>
      <c r="GO62" s="29"/>
      <c r="GP62" s="29"/>
      <c r="GQ62" s="29"/>
      <c r="GR62" s="29"/>
      <c r="GS62" s="29"/>
      <c r="GT62" s="29"/>
      <c r="GU62" s="29"/>
      <c r="GV62" s="29"/>
      <c r="GW62" s="29"/>
      <c r="GX62" s="29"/>
      <c r="GY62" s="29"/>
      <c r="GZ62" s="29"/>
      <c r="HA62" s="29"/>
      <c r="HB62" s="29"/>
      <c r="HC62" s="29"/>
      <c r="HD62" s="29"/>
      <c r="HE62" s="29"/>
      <c r="HF62" s="29"/>
      <c r="HG62" s="29"/>
      <c r="HH62" s="29"/>
      <c r="HI62" s="29"/>
      <c r="HJ62" s="29"/>
      <c r="HK62" s="29"/>
      <c r="HL62" s="29"/>
      <c r="HM62" s="29"/>
      <c r="HN62" s="29"/>
      <c r="HO62" s="29"/>
      <c r="HP62" s="29"/>
      <c r="HQ62" s="29"/>
      <c r="HR62" s="29"/>
      <c r="HS62" s="29"/>
      <c r="HT62" s="29"/>
      <c r="HU62" s="29"/>
      <c r="HV62" s="29"/>
      <c r="HW62" s="29"/>
      <c r="HX62" s="29"/>
      <c r="HY62" s="29"/>
      <c r="HZ62" s="29"/>
      <c r="IA62" s="29"/>
      <c r="IB62" s="29"/>
      <c r="IC62" s="29"/>
      <c r="ID62" s="29"/>
      <c r="IE62" s="29"/>
      <c r="IF62" s="29"/>
      <c r="IG62" s="29"/>
      <c r="IH62" s="29"/>
      <c r="II62" s="29"/>
      <c r="IJ62" s="29"/>
      <c r="IK62" s="29"/>
      <c r="IL62" s="29"/>
      <c r="IM62" s="29"/>
      <c r="IN62" s="29"/>
      <c r="IO62" s="29"/>
      <c r="IP62" s="29"/>
      <c r="IQ62" s="29"/>
      <c r="IR62" s="29"/>
      <c r="IS62" s="29"/>
      <c r="IT62" s="29"/>
      <c r="IU62" s="29"/>
      <c r="IV62" s="29"/>
      <c r="IW62" s="29"/>
    </row>
    <row r="63" customFormat="false" ht="25.5" hidden="false" customHeight="true" outlineLevel="0" collapsed="false">
      <c r="A63" s="42" t="n">
        <v>34</v>
      </c>
      <c r="B63" s="42"/>
      <c r="C63" s="43"/>
      <c r="D63" s="44"/>
      <c r="E63" s="45"/>
      <c r="F63" s="46"/>
      <c r="G63" s="47"/>
      <c r="H63" s="48" t="str">
        <f aca="false">IF(G63&gt;=90,"Xuất sắc",IF(G63&gt;=80,"Tốt",IF(G63&gt;=65,"Khá",IF(G63&gt;=50,"TB",""))))</f>
        <v/>
      </c>
      <c r="I63" s="4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  <c r="FS63" s="29"/>
      <c r="FT63" s="29"/>
      <c r="FU63" s="29"/>
      <c r="FV63" s="29"/>
      <c r="FW63" s="29"/>
      <c r="FX63" s="29"/>
      <c r="FY63" s="29"/>
      <c r="FZ63" s="29"/>
      <c r="GA63" s="29"/>
      <c r="GB63" s="29"/>
      <c r="GC63" s="29"/>
      <c r="GD63" s="29"/>
      <c r="GE63" s="29"/>
      <c r="GF63" s="29"/>
      <c r="GG63" s="29"/>
      <c r="GH63" s="29"/>
      <c r="GI63" s="29"/>
      <c r="GJ63" s="29"/>
      <c r="GK63" s="29"/>
      <c r="GL63" s="29"/>
      <c r="GM63" s="29"/>
      <c r="GN63" s="29"/>
      <c r="GO63" s="29"/>
      <c r="GP63" s="29"/>
      <c r="GQ63" s="29"/>
      <c r="GR63" s="29"/>
      <c r="GS63" s="29"/>
      <c r="GT63" s="29"/>
      <c r="GU63" s="29"/>
      <c r="GV63" s="29"/>
      <c r="GW63" s="29"/>
      <c r="GX63" s="29"/>
      <c r="GY63" s="29"/>
      <c r="GZ63" s="29"/>
      <c r="HA63" s="29"/>
      <c r="HB63" s="29"/>
      <c r="HC63" s="29"/>
      <c r="HD63" s="29"/>
      <c r="HE63" s="29"/>
      <c r="HF63" s="29"/>
      <c r="HG63" s="29"/>
      <c r="HH63" s="29"/>
      <c r="HI63" s="29"/>
      <c r="HJ63" s="29"/>
      <c r="HK63" s="29"/>
      <c r="HL63" s="29"/>
      <c r="HM63" s="29"/>
      <c r="HN63" s="29"/>
      <c r="HO63" s="29"/>
      <c r="HP63" s="29"/>
      <c r="HQ63" s="29"/>
      <c r="HR63" s="29"/>
      <c r="HS63" s="29"/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29"/>
      <c r="IF63" s="29"/>
      <c r="IG63" s="29"/>
      <c r="IH63" s="29"/>
      <c r="II63" s="29"/>
      <c r="IJ63" s="29"/>
      <c r="IK63" s="29"/>
      <c r="IL63" s="29"/>
      <c r="IM63" s="29"/>
      <c r="IN63" s="29"/>
      <c r="IO63" s="29"/>
      <c r="IP63" s="29"/>
      <c r="IQ63" s="29"/>
      <c r="IR63" s="29"/>
      <c r="IS63" s="29"/>
      <c r="IT63" s="29"/>
      <c r="IU63" s="29"/>
      <c r="IV63" s="29"/>
      <c r="IW63" s="29"/>
    </row>
    <row r="64" customFormat="false" ht="25.5" hidden="false" customHeight="true" outlineLevel="0" collapsed="false">
      <c r="A64" s="42" t="n">
        <v>35</v>
      </c>
      <c r="B64" s="42"/>
      <c r="C64" s="53"/>
      <c r="D64" s="54"/>
      <c r="E64" s="52"/>
      <c r="F64" s="46"/>
      <c r="G64" s="47"/>
      <c r="H64" s="48" t="str">
        <f aca="false">IF(G64&gt;=90,"Xuất sắc",IF(G64&gt;=80,"Tốt",IF(G64&gt;=65,"Khá",IF(G64&gt;=50,"TB",""))))</f>
        <v/>
      </c>
      <c r="I64" s="4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  <c r="FD64" s="29"/>
      <c r="FE64" s="29"/>
      <c r="FF64" s="29"/>
      <c r="FG64" s="29"/>
      <c r="FH64" s="29"/>
      <c r="FI64" s="29"/>
      <c r="FJ64" s="29"/>
      <c r="FK64" s="29"/>
      <c r="FL64" s="29"/>
      <c r="FM64" s="29"/>
      <c r="FN64" s="29"/>
      <c r="FO64" s="29"/>
      <c r="FP64" s="29"/>
      <c r="FQ64" s="29"/>
      <c r="FR64" s="29"/>
      <c r="FS64" s="29"/>
      <c r="FT64" s="29"/>
      <c r="FU64" s="29"/>
      <c r="FV64" s="29"/>
      <c r="FW64" s="29"/>
      <c r="FX64" s="29"/>
      <c r="FY64" s="29"/>
      <c r="FZ64" s="29"/>
      <c r="GA64" s="29"/>
      <c r="GB64" s="29"/>
      <c r="GC64" s="29"/>
      <c r="GD64" s="29"/>
      <c r="GE64" s="29"/>
      <c r="GF64" s="29"/>
      <c r="GG64" s="29"/>
      <c r="GH64" s="29"/>
      <c r="GI64" s="29"/>
      <c r="GJ64" s="29"/>
      <c r="GK64" s="29"/>
      <c r="GL64" s="29"/>
      <c r="GM64" s="29"/>
      <c r="GN64" s="29"/>
      <c r="GO64" s="29"/>
      <c r="GP64" s="29"/>
      <c r="GQ64" s="29"/>
      <c r="GR64" s="29"/>
      <c r="GS64" s="29"/>
      <c r="GT64" s="29"/>
      <c r="GU64" s="29"/>
      <c r="GV64" s="29"/>
      <c r="GW64" s="29"/>
      <c r="GX64" s="29"/>
      <c r="GY64" s="29"/>
      <c r="GZ64" s="29"/>
      <c r="HA64" s="29"/>
      <c r="HB64" s="29"/>
      <c r="HC64" s="29"/>
      <c r="HD64" s="29"/>
      <c r="HE64" s="29"/>
      <c r="HF64" s="29"/>
      <c r="HG64" s="29"/>
      <c r="HH64" s="29"/>
      <c r="HI64" s="29"/>
      <c r="HJ64" s="29"/>
      <c r="HK64" s="29"/>
      <c r="HL64" s="29"/>
      <c r="HM64" s="29"/>
      <c r="HN64" s="29"/>
      <c r="HO64" s="29"/>
      <c r="HP64" s="29"/>
      <c r="HQ64" s="29"/>
      <c r="HR64" s="29"/>
      <c r="HS64" s="29"/>
      <c r="HT64" s="29"/>
      <c r="HU64" s="29"/>
      <c r="HV64" s="29"/>
      <c r="HW64" s="29"/>
      <c r="HX64" s="29"/>
      <c r="HY64" s="29"/>
      <c r="HZ64" s="29"/>
      <c r="IA64" s="29"/>
      <c r="IB64" s="29"/>
      <c r="IC64" s="29"/>
      <c r="ID64" s="29"/>
      <c r="IE64" s="29"/>
      <c r="IF64" s="29"/>
      <c r="IG64" s="29"/>
      <c r="IH64" s="29"/>
      <c r="II64" s="29"/>
      <c r="IJ64" s="29"/>
      <c r="IK64" s="29"/>
      <c r="IL64" s="29"/>
      <c r="IM64" s="29"/>
      <c r="IN64" s="29"/>
      <c r="IO64" s="29"/>
      <c r="IP64" s="29"/>
      <c r="IQ64" s="29"/>
      <c r="IR64" s="29"/>
      <c r="IS64" s="29"/>
      <c r="IT64" s="29"/>
      <c r="IU64" s="29"/>
      <c r="IV64" s="29"/>
      <c r="IW64" s="29"/>
    </row>
    <row r="65" customFormat="false" ht="25.5" hidden="false" customHeight="true" outlineLevel="0" collapsed="false">
      <c r="A65" s="42" t="n">
        <v>36</v>
      </c>
      <c r="B65" s="42"/>
      <c r="C65" s="53"/>
      <c r="D65" s="44"/>
      <c r="E65" s="52"/>
      <c r="F65" s="46"/>
      <c r="G65" s="47"/>
      <c r="H65" s="48" t="str">
        <f aca="false">IF(G65&gt;=90,"Xuất sắc",IF(G65&gt;=80,"Tốt",IF(G65&gt;=65,"Khá",IF(G65&gt;=50,"TB",""))))</f>
        <v/>
      </c>
      <c r="I65" s="4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9"/>
      <c r="FV65" s="29"/>
      <c r="FW65" s="29"/>
      <c r="FX65" s="29"/>
      <c r="FY65" s="29"/>
      <c r="FZ65" s="29"/>
      <c r="GA65" s="29"/>
      <c r="GB65" s="29"/>
      <c r="GC65" s="29"/>
      <c r="GD65" s="29"/>
      <c r="GE65" s="29"/>
      <c r="GF65" s="29"/>
      <c r="GG65" s="29"/>
      <c r="GH65" s="29"/>
      <c r="GI65" s="29"/>
      <c r="GJ65" s="29"/>
      <c r="GK65" s="29"/>
      <c r="GL65" s="29"/>
      <c r="GM65" s="29"/>
      <c r="GN65" s="29"/>
      <c r="GO65" s="29"/>
      <c r="GP65" s="29"/>
      <c r="GQ65" s="29"/>
      <c r="GR65" s="29"/>
      <c r="GS65" s="29"/>
      <c r="GT65" s="29"/>
      <c r="GU65" s="29"/>
      <c r="GV65" s="29"/>
      <c r="GW65" s="29"/>
      <c r="GX65" s="29"/>
      <c r="GY65" s="29"/>
      <c r="GZ65" s="29"/>
      <c r="HA65" s="29"/>
      <c r="HB65" s="29"/>
      <c r="HC65" s="29"/>
      <c r="HD65" s="29"/>
      <c r="HE65" s="29"/>
      <c r="HF65" s="29"/>
      <c r="HG65" s="29"/>
      <c r="HH65" s="29"/>
      <c r="HI65" s="29"/>
      <c r="HJ65" s="29"/>
      <c r="HK65" s="29"/>
      <c r="HL65" s="29"/>
      <c r="HM65" s="29"/>
      <c r="HN65" s="29"/>
      <c r="HO65" s="29"/>
      <c r="HP65" s="29"/>
      <c r="HQ65" s="29"/>
      <c r="HR65" s="29"/>
      <c r="HS65" s="29"/>
      <c r="HT65" s="29"/>
      <c r="HU65" s="29"/>
      <c r="HV65" s="29"/>
      <c r="HW65" s="29"/>
      <c r="HX65" s="29"/>
      <c r="HY65" s="29"/>
      <c r="HZ65" s="29"/>
      <c r="IA65" s="29"/>
      <c r="IB65" s="29"/>
      <c r="IC65" s="29"/>
      <c r="ID65" s="29"/>
      <c r="IE65" s="29"/>
      <c r="IF65" s="29"/>
      <c r="IG65" s="29"/>
      <c r="IH65" s="29"/>
      <c r="II65" s="29"/>
      <c r="IJ65" s="29"/>
      <c r="IK65" s="29"/>
      <c r="IL65" s="29"/>
      <c r="IM65" s="29"/>
      <c r="IN65" s="29"/>
      <c r="IO65" s="29"/>
      <c r="IP65" s="29"/>
      <c r="IQ65" s="29"/>
      <c r="IR65" s="29"/>
      <c r="IS65" s="29"/>
      <c r="IT65" s="29"/>
      <c r="IU65" s="29"/>
      <c r="IV65" s="29"/>
      <c r="IW65" s="29"/>
    </row>
    <row r="66" customFormat="false" ht="25.5" hidden="false" customHeight="true" outlineLevel="0" collapsed="false">
      <c r="A66" s="42" t="n">
        <v>37</v>
      </c>
      <c r="B66" s="42"/>
      <c r="C66" s="43"/>
      <c r="D66" s="44"/>
      <c r="E66" s="45"/>
      <c r="F66" s="46"/>
      <c r="G66" s="47"/>
      <c r="H66" s="48" t="str">
        <f aca="false">IF(G66&gt;=90,"Xuất sắc",IF(G66&gt;=80,"Tốt",IF(G66&gt;=65,"Khá",IF(G66&gt;=50,"TB",""))))</f>
        <v/>
      </c>
      <c r="I66" s="4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  <c r="FD66" s="29"/>
      <c r="FE66" s="29"/>
      <c r="FF66" s="29"/>
      <c r="FG66" s="29"/>
      <c r="FH66" s="29"/>
      <c r="FI66" s="29"/>
      <c r="FJ66" s="29"/>
      <c r="FK66" s="29"/>
      <c r="FL66" s="29"/>
      <c r="FM66" s="29"/>
      <c r="FN66" s="29"/>
      <c r="FO66" s="29"/>
      <c r="FP66" s="29"/>
      <c r="FQ66" s="29"/>
      <c r="FR66" s="29"/>
      <c r="FS66" s="29"/>
      <c r="FT66" s="29"/>
      <c r="FU66" s="29"/>
      <c r="FV66" s="29"/>
      <c r="FW66" s="29"/>
      <c r="FX66" s="29"/>
      <c r="FY66" s="29"/>
      <c r="FZ66" s="29"/>
      <c r="GA66" s="29"/>
      <c r="GB66" s="29"/>
      <c r="GC66" s="29"/>
      <c r="GD66" s="29"/>
      <c r="GE66" s="29"/>
      <c r="GF66" s="29"/>
      <c r="GG66" s="29"/>
      <c r="GH66" s="29"/>
      <c r="GI66" s="29"/>
      <c r="GJ66" s="29"/>
      <c r="GK66" s="29"/>
      <c r="GL66" s="29"/>
      <c r="GM66" s="29"/>
      <c r="GN66" s="29"/>
      <c r="GO66" s="29"/>
      <c r="GP66" s="29"/>
      <c r="GQ66" s="29"/>
      <c r="GR66" s="29"/>
      <c r="GS66" s="29"/>
      <c r="GT66" s="29"/>
      <c r="GU66" s="29"/>
      <c r="GV66" s="29"/>
      <c r="GW66" s="29"/>
      <c r="GX66" s="29"/>
      <c r="GY66" s="29"/>
      <c r="GZ66" s="29"/>
      <c r="HA66" s="29"/>
      <c r="HB66" s="29"/>
      <c r="HC66" s="29"/>
      <c r="HD66" s="29"/>
      <c r="HE66" s="29"/>
      <c r="HF66" s="29"/>
      <c r="HG66" s="29"/>
      <c r="HH66" s="29"/>
      <c r="HI66" s="29"/>
      <c r="HJ66" s="29"/>
      <c r="HK66" s="29"/>
      <c r="HL66" s="29"/>
      <c r="HM66" s="29"/>
      <c r="HN66" s="29"/>
      <c r="HO66" s="29"/>
      <c r="HP66" s="29"/>
      <c r="HQ66" s="29"/>
      <c r="HR66" s="29"/>
      <c r="HS66" s="29"/>
      <c r="HT66" s="29"/>
      <c r="HU66" s="29"/>
      <c r="HV66" s="29"/>
      <c r="HW66" s="29"/>
      <c r="HX66" s="29"/>
      <c r="HY66" s="29"/>
      <c r="HZ66" s="29"/>
      <c r="IA66" s="29"/>
      <c r="IB66" s="29"/>
      <c r="IC66" s="29"/>
      <c r="ID66" s="29"/>
      <c r="IE66" s="29"/>
      <c r="IF66" s="29"/>
      <c r="IG66" s="29"/>
      <c r="IH66" s="29"/>
      <c r="II66" s="29"/>
      <c r="IJ66" s="29"/>
      <c r="IK66" s="29"/>
      <c r="IL66" s="29"/>
      <c r="IM66" s="29"/>
      <c r="IN66" s="29"/>
      <c r="IO66" s="29"/>
      <c r="IP66" s="29"/>
      <c r="IQ66" s="29"/>
      <c r="IR66" s="29"/>
      <c r="IS66" s="29"/>
      <c r="IT66" s="29"/>
      <c r="IU66" s="29"/>
      <c r="IV66" s="29"/>
      <c r="IW66" s="29"/>
    </row>
    <row r="67" customFormat="false" ht="25.5" hidden="false" customHeight="true" outlineLevel="0" collapsed="false">
      <c r="A67" s="42" t="n">
        <v>38</v>
      </c>
      <c r="B67" s="42"/>
      <c r="C67" s="43"/>
      <c r="D67" s="44"/>
      <c r="E67" s="45"/>
      <c r="F67" s="46"/>
      <c r="G67" s="47"/>
      <c r="H67" s="48" t="str">
        <f aca="false">IF(G67&gt;=90,"Xuất sắc",IF(G67&gt;=80,"Tốt",IF(G67&gt;=65,"Khá",IF(G67&gt;=50,"TB",""))))</f>
        <v/>
      </c>
      <c r="I67" s="4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29"/>
      <c r="FC67" s="29"/>
      <c r="FD67" s="29"/>
      <c r="FE67" s="29"/>
      <c r="FF67" s="29"/>
      <c r="FG67" s="29"/>
      <c r="FH67" s="29"/>
      <c r="FI67" s="29"/>
      <c r="FJ67" s="29"/>
      <c r="FK67" s="29"/>
      <c r="FL67" s="29"/>
      <c r="FM67" s="29"/>
      <c r="FN67" s="29"/>
      <c r="FO67" s="29"/>
      <c r="FP67" s="29"/>
      <c r="FQ67" s="29"/>
      <c r="FR67" s="29"/>
      <c r="FS67" s="29"/>
      <c r="FT67" s="29"/>
      <c r="FU67" s="29"/>
      <c r="FV67" s="29"/>
      <c r="FW67" s="29"/>
      <c r="FX67" s="29"/>
      <c r="FY67" s="29"/>
      <c r="FZ67" s="29"/>
      <c r="GA67" s="29"/>
      <c r="GB67" s="29"/>
      <c r="GC67" s="29"/>
      <c r="GD67" s="29"/>
      <c r="GE67" s="29"/>
      <c r="GF67" s="29"/>
      <c r="GG67" s="29"/>
      <c r="GH67" s="29"/>
      <c r="GI67" s="29"/>
      <c r="GJ67" s="29"/>
      <c r="GK67" s="29"/>
      <c r="GL67" s="29"/>
      <c r="GM67" s="29"/>
      <c r="GN67" s="29"/>
      <c r="GO67" s="29"/>
      <c r="GP67" s="29"/>
      <c r="GQ67" s="29"/>
      <c r="GR67" s="29"/>
      <c r="GS67" s="29"/>
      <c r="GT67" s="29"/>
      <c r="GU67" s="29"/>
      <c r="GV67" s="29"/>
      <c r="GW67" s="29"/>
      <c r="GX67" s="29"/>
      <c r="GY67" s="29"/>
      <c r="GZ67" s="29"/>
      <c r="HA67" s="29"/>
      <c r="HB67" s="29"/>
      <c r="HC67" s="29"/>
      <c r="HD67" s="29"/>
      <c r="HE67" s="29"/>
      <c r="HF67" s="29"/>
      <c r="HG67" s="29"/>
      <c r="HH67" s="29"/>
      <c r="HI67" s="29"/>
      <c r="HJ67" s="29"/>
      <c r="HK67" s="29"/>
      <c r="HL67" s="29"/>
      <c r="HM67" s="29"/>
      <c r="HN67" s="29"/>
      <c r="HO67" s="29"/>
      <c r="HP67" s="29"/>
      <c r="HQ67" s="29"/>
      <c r="HR67" s="29"/>
      <c r="HS67" s="29"/>
      <c r="HT67" s="29"/>
      <c r="HU67" s="29"/>
      <c r="HV67" s="29"/>
      <c r="HW67" s="29"/>
      <c r="HX67" s="29"/>
      <c r="HY67" s="29"/>
      <c r="HZ67" s="29"/>
      <c r="IA67" s="29"/>
      <c r="IB67" s="29"/>
      <c r="IC67" s="29"/>
      <c r="ID67" s="29"/>
      <c r="IE67" s="29"/>
      <c r="IF67" s="29"/>
      <c r="IG67" s="29"/>
      <c r="IH67" s="29"/>
      <c r="II67" s="29"/>
      <c r="IJ67" s="29"/>
      <c r="IK67" s="29"/>
      <c r="IL67" s="29"/>
      <c r="IM67" s="29"/>
      <c r="IN67" s="29"/>
      <c r="IO67" s="29"/>
      <c r="IP67" s="29"/>
      <c r="IQ67" s="29"/>
      <c r="IR67" s="29"/>
      <c r="IS67" s="29"/>
      <c r="IT67" s="29"/>
      <c r="IU67" s="29"/>
      <c r="IV67" s="29"/>
      <c r="IW67" s="29"/>
    </row>
    <row r="68" customFormat="false" ht="25.5" hidden="false" customHeight="true" outlineLevel="0" collapsed="false">
      <c r="A68" s="42" t="n">
        <v>39</v>
      </c>
      <c r="B68" s="42"/>
      <c r="C68" s="43"/>
      <c r="D68" s="44"/>
      <c r="E68" s="45"/>
      <c r="F68" s="46"/>
      <c r="G68" s="47"/>
      <c r="H68" s="48" t="str">
        <f aca="false">IF(G68&gt;=90,"Xuất sắc",IF(G68&gt;=80,"Tốt",IF(G68&gt;=65,"Khá",IF(G68&gt;=50,"TB",""))))</f>
        <v/>
      </c>
      <c r="I68" s="4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29"/>
      <c r="FC68" s="29"/>
      <c r="FD68" s="29"/>
      <c r="FE68" s="29"/>
      <c r="FF68" s="29"/>
      <c r="FG68" s="29"/>
      <c r="FH68" s="29"/>
      <c r="FI68" s="29"/>
      <c r="FJ68" s="29"/>
      <c r="FK68" s="29"/>
      <c r="FL68" s="29"/>
      <c r="FM68" s="29"/>
      <c r="FN68" s="29"/>
      <c r="FO68" s="29"/>
      <c r="FP68" s="29"/>
      <c r="FQ68" s="29"/>
      <c r="FR68" s="29"/>
      <c r="FS68" s="29"/>
      <c r="FT68" s="29"/>
      <c r="FU68" s="29"/>
      <c r="FV68" s="29"/>
      <c r="FW68" s="29"/>
      <c r="FX68" s="29"/>
      <c r="FY68" s="29"/>
      <c r="FZ68" s="29"/>
      <c r="GA68" s="29"/>
      <c r="GB68" s="29"/>
      <c r="GC68" s="29"/>
      <c r="GD68" s="29"/>
      <c r="GE68" s="29"/>
      <c r="GF68" s="29"/>
      <c r="GG68" s="29"/>
      <c r="GH68" s="29"/>
      <c r="GI68" s="29"/>
      <c r="GJ68" s="29"/>
      <c r="GK68" s="29"/>
      <c r="GL68" s="29"/>
      <c r="GM68" s="29"/>
      <c r="GN68" s="29"/>
      <c r="GO68" s="29"/>
      <c r="GP68" s="29"/>
      <c r="GQ68" s="29"/>
      <c r="GR68" s="29"/>
      <c r="GS68" s="29"/>
      <c r="GT68" s="29"/>
      <c r="GU68" s="29"/>
      <c r="GV68" s="29"/>
      <c r="GW68" s="29"/>
      <c r="GX68" s="29"/>
      <c r="GY68" s="29"/>
      <c r="GZ68" s="29"/>
      <c r="HA68" s="29"/>
      <c r="HB68" s="29"/>
      <c r="HC68" s="29"/>
      <c r="HD68" s="29"/>
      <c r="HE68" s="29"/>
      <c r="HF68" s="29"/>
      <c r="HG68" s="29"/>
      <c r="HH68" s="29"/>
      <c r="HI68" s="29"/>
      <c r="HJ68" s="29"/>
      <c r="HK68" s="29"/>
      <c r="HL68" s="29"/>
      <c r="HM68" s="29"/>
      <c r="HN68" s="29"/>
      <c r="HO68" s="29"/>
      <c r="HP68" s="29"/>
      <c r="HQ68" s="29"/>
      <c r="HR68" s="29"/>
      <c r="HS68" s="29"/>
      <c r="HT68" s="29"/>
      <c r="HU68" s="29"/>
      <c r="HV68" s="29"/>
      <c r="HW68" s="29"/>
      <c r="HX68" s="29"/>
      <c r="HY68" s="29"/>
      <c r="HZ68" s="29"/>
      <c r="IA68" s="29"/>
      <c r="IB68" s="29"/>
      <c r="IC68" s="29"/>
      <c r="ID68" s="29"/>
      <c r="IE68" s="29"/>
      <c r="IF68" s="29"/>
      <c r="IG68" s="29"/>
      <c r="IH68" s="29"/>
      <c r="II68" s="29"/>
      <c r="IJ68" s="29"/>
      <c r="IK68" s="29"/>
      <c r="IL68" s="29"/>
      <c r="IM68" s="29"/>
      <c r="IN68" s="29"/>
      <c r="IO68" s="29"/>
      <c r="IP68" s="29"/>
      <c r="IQ68" s="29"/>
      <c r="IR68" s="29"/>
      <c r="IS68" s="29"/>
      <c r="IT68" s="29"/>
      <c r="IU68" s="29"/>
      <c r="IV68" s="29"/>
      <c r="IW68" s="29"/>
    </row>
    <row r="69" customFormat="false" ht="25.5" hidden="false" customHeight="true" outlineLevel="0" collapsed="false">
      <c r="A69" s="42" t="n">
        <v>40</v>
      </c>
      <c r="B69" s="42"/>
      <c r="C69" s="43"/>
      <c r="D69" s="44"/>
      <c r="E69" s="45"/>
      <c r="F69" s="46"/>
      <c r="G69" s="47"/>
      <c r="H69" s="48" t="str">
        <f aca="false">IF(G69&gt;=90,"Xuất sắc",IF(G69&gt;=80,"Tốt",IF(G69&gt;=65,"Khá",IF(G69&gt;=50,"TB",""))))</f>
        <v/>
      </c>
      <c r="I69" s="4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29"/>
      <c r="EZ69" s="29"/>
      <c r="FA69" s="29"/>
      <c r="FB69" s="29"/>
      <c r="FC69" s="29"/>
      <c r="FD69" s="29"/>
      <c r="FE69" s="29"/>
      <c r="FF69" s="29"/>
      <c r="FG69" s="29"/>
      <c r="FH69" s="29"/>
      <c r="FI69" s="29"/>
      <c r="FJ69" s="29"/>
      <c r="FK69" s="29"/>
      <c r="FL69" s="29"/>
      <c r="FM69" s="29"/>
      <c r="FN69" s="29"/>
      <c r="FO69" s="29"/>
      <c r="FP69" s="29"/>
      <c r="FQ69" s="29"/>
      <c r="FR69" s="29"/>
      <c r="FS69" s="29"/>
      <c r="FT69" s="29"/>
      <c r="FU69" s="29"/>
      <c r="FV69" s="29"/>
      <c r="FW69" s="29"/>
      <c r="FX69" s="29"/>
      <c r="FY69" s="29"/>
      <c r="FZ69" s="29"/>
      <c r="GA69" s="29"/>
      <c r="GB69" s="29"/>
      <c r="GC69" s="29"/>
      <c r="GD69" s="29"/>
      <c r="GE69" s="29"/>
      <c r="GF69" s="29"/>
      <c r="GG69" s="29"/>
      <c r="GH69" s="29"/>
      <c r="GI69" s="29"/>
      <c r="GJ69" s="29"/>
      <c r="GK69" s="29"/>
      <c r="GL69" s="29"/>
      <c r="GM69" s="29"/>
      <c r="GN69" s="29"/>
      <c r="GO69" s="29"/>
      <c r="GP69" s="29"/>
      <c r="GQ69" s="29"/>
      <c r="GR69" s="29"/>
      <c r="GS69" s="29"/>
      <c r="GT69" s="29"/>
      <c r="GU69" s="29"/>
      <c r="GV69" s="29"/>
      <c r="GW69" s="29"/>
      <c r="GX69" s="29"/>
      <c r="GY69" s="29"/>
      <c r="GZ69" s="29"/>
      <c r="HA69" s="29"/>
      <c r="HB69" s="29"/>
      <c r="HC69" s="29"/>
      <c r="HD69" s="29"/>
      <c r="HE69" s="29"/>
      <c r="HF69" s="29"/>
      <c r="HG69" s="29"/>
      <c r="HH69" s="29"/>
      <c r="HI69" s="29"/>
      <c r="HJ69" s="29"/>
      <c r="HK69" s="29"/>
      <c r="HL69" s="29"/>
      <c r="HM69" s="29"/>
      <c r="HN69" s="29"/>
      <c r="HO69" s="29"/>
      <c r="HP69" s="29"/>
      <c r="HQ69" s="29"/>
      <c r="HR69" s="29"/>
      <c r="HS69" s="29"/>
      <c r="HT69" s="29"/>
      <c r="HU69" s="29"/>
      <c r="HV69" s="29"/>
      <c r="HW69" s="29"/>
      <c r="HX69" s="29"/>
      <c r="HY69" s="29"/>
      <c r="HZ69" s="29"/>
      <c r="IA69" s="29"/>
      <c r="IB69" s="29"/>
      <c r="IC69" s="29"/>
      <c r="ID69" s="29"/>
      <c r="IE69" s="29"/>
      <c r="IF69" s="29"/>
      <c r="IG69" s="29"/>
      <c r="IH69" s="29"/>
      <c r="II69" s="29"/>
      <c r="IJ69" s="29"/>
      <c r="IK69" s="29"/>
      <c r="IL69" s="29"/>
      <c r="IM69" s="29"/>
      <c r="IN69" s="29"/>
      <c r="IO69" s="29"/>
      <c r="IP69" s="29"/>
      <c r="IQ69" s="29"/>
      <c r="IR69" s="29"/>
      <c r="IS69" s="29"/>
      <c r="IT69" s="29"/>
      <c r="IU69" s="29"/>
      <c r="IV69" s="29"/>
      <c r="IW69" s="29"/>
    </row>
    <row r="70" customFormat="false" ht="25.5" hidden="false" customHeight="true" outlineLevel="0" collapsed="false">
      <c r="A70" s="42" t="n">
        <v>41</v>
      </c>
      <c r="B70" s="42"/>
      <c r="C70" s="43"/>
      <c r="D70" s="44"/>
      <c r="E70" s="45"/>
      <c r="F70" s="46"/>
      <c r="G70" s="47"/>
      <c r="H70" s="48" t="str">
        <f aca="false">IF(G70&gt;=90,"Xuất sắc",IF(G70&gt;=80,"Tốt",IF(G70&gt;=65,"Khá",IF(G70&gt;=50,"TB",""))))</f>
        <v/>
      </c>
      <c r="I70" s="4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29"/>
      <c r="FC70" s="29"/>
      <c r="FD70" s="29"/>
      <c r="FE70" s="29"/>
      <c r="FF70" s="29"/>
      <c r="FG70" s="29"/>
      <c r="FH70" s="29"/>
      <c r="FI70" s="29"/>
      <c r="FJ70" s="29"/>
      <c r="FK70" s="29"/>
      <c r="FL70" s="29"/>
      <c r="FM70" s="29"/>
      <c r="FN70" s="29"/>
      <c r="FO70" s="29"/>
      <c r="FP70" s="29"/>
      <c r="FQ70" s="29"/>
      <c r="FR70" s="29"/>
      <c r="FS70" s="29"/>
      <c r="FT70" s="29"/>
      <c r="FU70" s="29"/>
      <c r="FV70" s="29"/>
      <c r="FW70" s="29"/>
      <c r="FX70" s="29"/>
      <c r="FY70" s="29"/>
      <c r="FZ70" s="29"/>
      <c r="GA70" s="29"/>
      <c r="GB70" s="29"/>
      <c r="GC70" s="29"/>
      <c r="GD70" s="29"/>
      <c r="GE70" s="29"/>
      <c r="GF70" s="29"/>
      <c r="GG70" s="29"/>
      <c r="GH70" s="29"/>
      <c r="GI70" s="29"/>
      <c r="GJ70" s="29"/>
      <c r="GK70" s="29"/>
      <c r="GL70" s="29"/>
      <c r="GM70" s="29"/>
      <c r="GN70" s="29"/>
      <c r="GO70" s="29"/>
      <c r="GP70" s="29"/>
      <c r="GQ70" s="29"/>
      <c r="GR70" s="29"/>
      <c r="GS70" s="29"/>
      <c r="GT70" s="29"/>
      <c r="GU70" s="29"/>
      <c r="GV70" s="29"/>
      <c r="GW70" s="29"/>
      <c r="GX70" s="29"/>
      <c r="GY70" s="29"/>
      <c r="GZ70" s="29"/>
      <c r="HA70" s="29"/>
      <c r="HB70" s="29"/>
      <c r="HC70" s="29"/>
      <c r="HD70" s="29"/>
      <c r="HE70" s="29"/>
      <c r="HF70" s="29"/>
      <c r="HG70" s="29"/>
      <c r="HH70" s="29"/>
      <c r="HI70" s="29"/>
      <c r="HJ70" s="29"/>
      <c r="HK70" s="29"/>
      <c r="HL70" s="29"/>
      <c r="HM70" s="29"/>
      <c r="HN70" s="29"/>
      <c r="HO70" s="29"/>
      <c r="HP70" s="29"/>
      <c r="HQ70" s="29"/>
      <c r="HR70" s="29"/>
      <c r="HS70" s="29"/>
      <c r="HT70" s="29"/>
      <c r="HU70" s="29"/>
      <c r="HV70" s="29"/>
      <c r="HW70" s="29"/>
      <c r="HX70" s="29"/>
      <c r="HY70" s="29"/>
      <c r="HZ70" s="29"/>
      <c r="IA70" s="29"/>
      <c r="IB70" s="29"/>
      <c r="IC70" s="29"/>
      <c r="ID70" s="29"/>
      <c r="IE70" s="29"/>
      <c r="IF70" s="29"/>
      <c r="IG70" s="29"/>
      <c r="IH70" s="29"/>
      <c r="II70" s="29"/>
      <c r="IJ70" s="29"/>
      <c r="IK70" s="29"/>
      <c r="IL70" s="29"/>
      <c r="IM70" s="29"/>
      <c r="IN70" s="29"/>
      <c r="IO70" s="29"/>
      <c r="IP70" s="29"/>
      <c r="IQ70" s="29"/>
      <c r="IR70" s="29"/>
      <c r="IS70" s="29"/>
      <c r="IT70" s="29"/>
      <c r="IU70" s="29"/>
      <c r="IV70" s="29"/>
      <c r="IW70" s="29"/>
    </row>
    <row r="71" customFormat="false" ht="25.5" hidden="false" customHeight="true" outlineLevel="0" collapsed="false">
      <c r="A71" s="42" t="n">
        <v>42</v>
      </c>
      <c r="B71" s="42"/>
      <c r="C71" s="53"/>
      <c r="D71" s="54"/>
      <c r="E71" s="52"/>
      <c r="F71" s="46"/>
      <c r="G71" s="47"/>
      <c r="H71" s="48" t="str">
        <f aca="false">IF(G71&gt;=90,"Xuất sắc",IF(G71&gt;=80,"Tốt",IF(G71&gt;=65,"Khá",IF(G71&gt;=50,"TB",""))))</f>
        <v/>
      </c>
      <c r="I71" s="4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29"/>
      <c r="FC71" s="29"/>
      <c r="FD71" s="29"/>
      <c r="FE71" s="29"/>
      <c r="FF71" s="29"/>
      <c r="FG71" s="29"/>
      <c r="FH71" s="29"/>
      <c r="FI71" s="29"/>
      <c r="FJ71" s="29"/>
      <c r="FK71" s="29"/>
      <c r="FL71" s="29"/>
      <c r="FM71" s="29"/>
      <c r="FN71" s="29"/>
      <c r="FO71" s="29"/>
      <c r="FP71" s="29"/>
      <c r="FQ71" s="29"/>
      <c r="FR71" s="29"/>
      <c r="FS71" s="29"/>
      <c r="FT71" s="29"/>
      <c r="FU71" s="29"/>
      <c r="FV71" s="29"/>
      <c r="FW71" s="29"/>
      <c r="FX71" s="29"/>
      <c r="FY71" s="29"/>
      <c r="FZ71" s="29"/>
      <c r="GA71" s="29"/>
      <c r="GB71" s="29"/>
      <c r="GC71" s="29"/>
      <c r="GD71" s="29"/>
      <c r="GE71" s="29"/>
      <c r="GF71" s="29"/>
      <c r="GG71" s="29"/>
      <c r="GH71" s="29"/>
      <c r="GI71" s="29"/>
      <c r="GJ71" s="29"/>
      <c r="GK71" s="29"/>
      <c r="GL71" s="29"/>
      <c r="GM71" s="29"/>
      <c r="GN71" s="29"/>
      <c r="GO71" s="29"/>
      <c r="GP71" s="29"/>
      <c r="GQ71" s="29"/>
      <c r="GR71" s="29"/>
      <c r="GS71" s="29"/>
      <c r="GT71" s="29"/>
      <c r="GU71" s="29"/>
      <c r="GV71" s="29"/>
      <c r="GW71" s="29"/>
      <c r="GX71" s="29"/>
      <c r="GY71" s="29"/>
      <c r="GZ71" s="29"/>
      <c r="HA71" s="29"/>
      <c r="HB71" s="29"/>
      <c r="HC71" s="29"/>
      <c r="HD71" s="29"/>
      <c r="HE71" s="29"/>
      <c r="HF71" s="29"/>
      <c r="HG71" s="29"/>
      <c r="HH71" s="29"/>
      <c r="HI71" s="29"/>
      <c r="HJ71" s="29"/>
      <c r="HK71" s="29"/>
      <c r="HL71" s="29"/>
      <c r="HM71" s="29"/>
      <c r="HN71" s="29"/>
      <c r="HO71" s="29"/>
      <c r="HP71" s="29"/>
      <c r="HQ71" s="29"/>
      <c r="HR71" s="29"/>
      <c r="HS71" s="29"/>
      <c r="HT71" s="29"/>
      <c r="HU71" s="29"/>
      <c r="HV71" s="29"/>
      <c r="HW71" s="29"/>
      <c r="HX71" s="29"/>
      <c r="HY71" s="29"/>
      <c r="HZ71" s="29"/>
      <c r="IA71" s="29"/>
      <c r="IB71" s="29"/>
      <c r="IC71" s="29"/>
      <c r="ID71" s="29"/>
      <c r="IE71" s="29"/>
      <c r="IF71" s="29"/>
      <c r="IG71" s="29"/>
      <c r="IH71" s="29"/>
      <c r="II71" s="29"/>
      <c r="IJ71" s="29"/>
      <c r="IK71" s="29"/>
      <c r="IL71" s="29"/>
      <c r="IM71" s="29"/>
      <c r="IN71" s="29"/>
      <c r="IO71" s="29"/>
      <c r="IP71" s="29"/>
      <c r="IQ71" s="29"/>
      <c r="IR71" s="29"/>
      <c r="IS71" s="29"/>
      <c r="IT71" s="29"/>
      <c r="IU71" s="29"/>
      <c r="IV71" s="29"/>
      <c r="IW71" s="29"/>
    </row>
    <row r="72" customFormat="false" ht="25.5" hidden="false" customHeight="true" outlineLevel="0" collapsed="false">
      <c r="A72" s="42" t="n">
        <v>43</v>
      </c>
      <c r="B72" s="42"/>
      <c r="C72" s="43"/>
      <c r="D72" s="44"/>
      <c r="E72" s="45"/>
      <c r="F72" s="46"/>
      <c r="G72" s="47"/>
      <c r="H72" s="48" t="str">
        <f aca="false">IF(G72&gt;=90,"Xuất sắc",IF(G72&gt;=80,"Tốt",IF(G72&gt;=65,"Khá",IF(G72&gt;=50,"TB",""))))</f>
        <v/>
      </c>
      <c r="I72" s="4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  <c r="FS72" s="29"/>
      <c r="FT72" s="29"/>
      <c r="FU72" s="29"/>
      <c r="FV72" s="29"/>
      <c r="FW72" s="29"/>
      <c r="FX72" s="29"/>
      <c r="FY72" s="29"/>
      <c r="FZ72" s="29"/>
      <c r="GA72" s="29"/>
      <c r="GB72" s="29"/>
      <c r="GC72" s="29"/>
      <c r="GD72" s="29"/>
      <c r="GE72" s="29"/>
      <c r="GF72" s="29"/>
      <c r="GG72" s="29"/>
      <c r="GH72" s="29"/>
      <c r="GI72" s="29"/>
      <c r="GJ72" s="29"/>
      <c r="GK72" s="29"/>
      <c r="GL72" s="29"/>
      <c r="GM72" s="29"/>
      <c r="GN72" s="29"/>
      <c r="GO72" s="29"/>
      <c r="GP72" s="29"/>
      <c r="GQ72" s="29"/>
      <c r="GR72" s="29"/>
      <c r="GS72" s="29"/>
      <c r="GT72" s="29"/>
      <c r="GU72" s="29"/>
      <c r="GV72" s="29"/>
      <c r="GW72" s="29"/>
      <c r="GX72" s="29"/>
      <c r="GY72" s="29"/>
      <c r="GZ72" s="29"/>
      <c r="HA72" s="29"/>
      <c r="HB72" s="29"/>
      <c r="HC72" s="29"/>
      <c r="HD72" s="29"/>
      <c r="HE72" s="29"/>
      <c r="HF72" s="29"/>
      <c r="HG72" s="29"/>
      <c r="HH72" s="29"/>
      <c r="HI72" s="29"/>
      <c r="HJ72" s="29"/>
      <c r="HK72" s="29"/>
      <c r="HL72" s="29"/>
      <c r="HM72" s="29"/>
      <c r="HN72" s="29"/>
      <c r="HO72" s="29"/>
      <c r="HP72" s="29"/>
      <c r="HQ72" s="29"/>
      <c r="HR72" s="29"/>
      <c r="HS72" s="29"/>
      <c r="HT72" s="29"/>
      <c r="HU72" s="29"/>
      <c r="HV72" s="29"/>
      <c r="HW72" s="29"/>
      <c r="HX72" s="29"/>
      <c r="HY72" s="29"/>
      <c r="HZ72" s="29"/>
      <c r="IA72" s="29"/>
      <c r="IB72" s="29"/>
      <c r="IC72" s="29"/>
      <c r="ID72" s="29"/>
      <c r="IE72" s="29"/>
      <c r="IF72" s="29"/>
      <c r="IG72" s="29"/>
      <c r="IH72" s="29"/>
      <c r="II72" s="29"/>
      <c r="IJ72" s="29"/>
      <c r="IK72" s="29"/>
      <c r="IL72" s="29"/>
      <c r="IM72" s="29"/>
      <c r="IN72" s="29"/>
      <c r="IO72" s="29"/>
      <c r="IP72" s="29"/>
      <c r="IQ72" s="29"/>
      <c r="IR72" s="29"/>
      <c r="IS72" s="29"/>
      <c r="IT72" s="29"/>
      <c r="IU72" s="29"/>
      <c r="IV72" s="29"/>
      <c r="IW72" s="29"/>
    </row>
    <row r="73" customFormat="false" ht="25.5" hidden="false" customHeight="true" outlineLevel="0" collapsed="false">
      <c r="A73" s="42" t="n">
        <v>44</v>
      </c>
      <c r="B73" s="42"/>
      <c r="C73" s="43"/>
      <c r="D73" s="44"/>
      <c r="E73" s="45"/>
      <c r="F73" s="46"/>
      <c r="G73" s="47"/>
      <c r="H73" s="48" t="str">
        <f aca="false">IF(G73&gt;=90,"Xuất sắc",IF(G73&gt;=80,"Tốt",IF(G73&gt;=65,"Khá",IF(G73&gt;=50,"TB",""))))</f>
        <v/>
      </c>
      <c r="I73" s="4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29"/>
      <c r="FC73" s="29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29"/>
      <c r="FP73" s="29"/>
      <c r="FQ73" s="29"/>
      <c r="FR73" s="29"/>
      <c r="FS73" s="29"/>
      <c r="FT73" s="29"/>
      <c r="FU73" s="29"/>
      <c r="FV73" s="29"/>
      <c r="FW73" s="29"/>
      <c r="FX73" s="29"/>
      <c r="FY73" s="29"/>
      <c r="FZ73" s="29"/>
      <c r="GA73" s="29"/>
      <c r="GB73" s="29"/>
      <c r="GC73" s="29"/>
      <c r="GD73" s="29"/>
      <c r="GE73" s="29"/>
      <c r="GF73" s="29"/>
      <c r="GG73" s="29"/>
      <c r="GH73" s="29"/>
      <c r="GI73" s="29"/>
      <c r="GJ73" s="29"/>
      <c r="GK73" s="29"/>
      <c r="GL73" s="29"/>
      <c r="GM73" s="29"/>
      <c r="GN73" s="29"/>
      <c r="GO73" s="29"/>
      <c r="GP73" s="29"/>
      <c r="GQ73" s="29"/>
      <c r="GR73" s="29"/>
      <c r="GS73" s="29"/>
      <c r="GT73" s="29"/>
      <c r="GU73" s="29"/>
      <c r="GV73" s="29"/>
      <c r="GW73" s="29"/>
      <c r="GX73" s="29"/>
      <c r="GY73" s="29"/>
      <c r="GZ73" s="29"/>
      <c r="HA73" s="29"/>
      <c r="HB73" s="29"/>
      <c r="HC73" s="29"/>
      <c r="HD73" s="29"/>
      <c r="HE73" s="29"/>
      <c r="HF73" s="29"/>
      <c r="HG73" s="29"/>
      <c r="HH73" s="29"/>
      <c r="HI73" s="29"/>
      <c r="HJ73" s="29"/>
      <c r="HK73" s="29"/>
      <c r="HL73" s="29"/>
      <c r="HM73" s="29"/>
      <c r="HN73" s="29"/>
      <c r="HO73" s="29"/>
      <c r="HP73" s="29"/>
      <c r="HQ73" s="29"/>
      <c r="HR73" s="29"/>
      <c r="HS73" s="29"/>
      <c r="HT73" s="29"/>
      <c r="HU73" s="29"/>
      <c r="HV73" s="29"/>
      <c r="HW73" s="29"/>
      <c r="HX73" s="29"/>
      <c r="HY73" s="29"/>
      <c r="HZ73" s="29"/>
      <c r="IA73" s="29"/>
      <c r="IB73" s="29"/>
      <c r="IC73" s="29"/>
      <c r="ID73" s="29"/>
      <c r="IE73" s="29"/>
      <c r="IF73" s="29"/>
      <c r="IG73" s="29"/>
      <c r="IH73" s="29"/>
      <c r="II73" s="29"/>
      <c r="IJ73" s="29"/>
      <c r="IK73" s="29"/>
      <c r="IL73" s="29"/>
      <c r="IM73" s="29"/>
      <c r="IN73" s="29"/>
      <c r="IO73" s="29"/>
      <c r="IP73" s="29"/>
      <c r="IQ73" s="29"/>
      <c r="IR73" s="29"/>
      <c r="IS73" s="29"/>
      <c r="IT73" s="29"/>
      <c r="IU73" s="29"/>
      <c r="IV73" s="29"/>
      <c r="IW73" s="29"/>
    </row>
    <row r="74" customFormat="false" ht="25.5" hidden="false" customHeight="true" outlineLevel="0" collapsed="false">
      <c r="A74" s="42" t="n">
        <v>45</v>
      </c>
      <c r="B74" s="42"/>
      <c r="C74" s="43"/>
      <c r="D74" s="44"/>
      <c r="E74" s="45"/>
      <c r="F74" s="46"/>
      <c r="G74" s="47"/>
      <c r="H74" s="48" t="str">
        <f aca="false">IF(G74&gt;=90,"Xuất sắc",IF(G74&gt;=80,"Tốt",IF(G74&gt;=65,"Khá",IF(G74&gt;=50,"TB",""))))</f>
        <v/>
      </c>
      <c r="I74" s="4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29"/>
      <c r="FC74" s="29"/>
      <c r="FD74" s="29"/>
      <c r="FE74" s="29"/>
      <c r="FF74" s="29"/>
      <c r="FG74" s="29"/>
      <c r="FH74" s="29"/>
      <c r="FI74" s="29"/>
      <c r="FJ74" s="29"/>
      <c r="FK74" s="29"/>
      <c r="FL74" s="29"/>
      <c r="FM74" s="29"/>
      <c r="FN74" s="29"/>
      <c r="FO74" s="29"/>
      <c r="FP74" s="29"/>
      <c r="FQ74" s="29"/>
      <c r="FR74" s="29"/>
      <c r="FS74" s="29"/>
      <c r="FT74" s="29"/>
      <c r="FU74" s="29"/>
      <c r="FV74" s="29"/>
      <c r="FW74" s="29"/>
      <c r="FX74" s="29"/>
      <c r="FY74" s="29"/>
      <c r="FZ74" s="29"/>
      <c r="GA74" s="29"/>
      <c r="GB74" s="29"/>
      <c r="GC74" s="29"/>
      <c r="GD74" s="29"/>
      <c r="GE74" s="29"/>
      <c r="GF74" s="29"/>
      <c r="GG74" s="29"/>
      <c r="GH74" s="29"/>
      <c r="GI74" s="29"/>
      <c r="GJ74" s="29"/>
      <c r="GK74" s="29"/>
      <c r="GL74" s="29"/>
      <c r="GM74" s="29"/>
      <c r="GN74" s="29"/>
      <c r="GO74" s="29"/>
      <c r="GP74" s="29"/>
      <c r="GQ74" s="29"/>
      <c r="GR74" s="29"/>
      <c r="GS74" s="29"/>
      <c r="GT74" s="29"/>
      <c r="GU74" s="29"/>
      <c r="GV74" s="29"/>
      <c r="GW74" s="29"/>
      <c r="GX74" s="29"/>
      <c r="GY74" s="29"/>
      <c r="GZ74" s="29"/>
      <c r="HA74" s="29"/>
      <c r="HB74" s="29"/>
      <c r="HC74" s="29"/>
      <c r="HD74" s="29"/>
      <c r="HE74" s="29"/>
      <c r="HF74" s="29"/>
      <c r="HG74" s="29"/>
      <c r="HH74" s="29"/>
      <c r="HI74" s="29"/>
      <c r="HJ74" s="29"/>
      <c r="HK74" s="29"/>
      <c r="HL74" s="29"/>
      <c r="HM74" s="29"/>
      <c r="HN74" s="29"/>
      <c r="HO74" s="29"/>
      <c r="HP74" s="29"/>
      <c r="HQ74" s="29"/>
      <c r="HR74" s="29"/>
      <c r="HS74" s="29"/>
      <c r="HT74" s="29"/>
      <c r="HU74" s="29"/>
      <c r="HV74" s="29"/>
      <c r="HW74" s="29"/>
      <c r="HX74" s="29"/>
      <c r="HY74" s="29"/>
      <c r="HZ74" s="29"/>
      <c r="IA74" s="29"/>
      <c r="IB74" s="29"/>
      <c r="IC74" s="29"/>
      <c r="ID74" s="29"/>
      <c r="IE74" s="29"/>
      <c r="IF74" s="29"/>
      <c r="IG74" s="29"/>
      <c r="IH74" s="29"/>
      <c r="II74" s="29"/>
      <c r="IJ74" s="29"/>
      <c r="IK74" s="29"/>
      <c r="IL74" s="29"/>
      <c r="IM74" s="29"/>
      <c r="IN74" s="29"/>
      <c r="IO74" s="29"/>
      <c r="IP74" s="29"/>
      <c r="IQ74" s="29"/>
      <c r="IR74" s="29"/>
      <c r="IS74" s="29"/>
      <c r="IT74" s="29"/>
      <c r="IU74" s="29"/>
      <c r="IV74" s="29"/>
      <c r="IW74" s="29"/>
    </row>
    <row r="75" customFormat="false" ht="25.5" hidden="false" customHeight="true" outlineLevel="0" collapsed="false">
      <c r="A75" s="42" t="n">
        <v>46</v>
      </c>
      <c r="B75" s="42"/>
      <c r="C75" s="43"/>
      <c r="D75" s="44"/>
      <c r="E75" s="45"/>
      <c r="F75" s="46"/>
      <c r="G75" s="47"/>
      <c r="H75" s="48" t="str">
        <f aca="false">IF(G75&gt;=90,"Xuất sắc",IF(G75&gt;=80,"Tốt",IF(G75&gt;=65,"Khá",IF(G75&gt;=50,"TB",""))))</f>
        <v/>
      </c>
      <c r="I75" s="49"/>
    </row>
    <row r="76" customFormat="false" ht="25.5" hidden="false" customHeight="true" outlineLevel="0" collapsed="false">
      <c r="A76" s="42" t="n">
        <v>47</v>
      </c>
      <c r="B76" s="42"/>
      <c r="C76" s="53"/>
      <c r="D76" s="54"/>
      <c r="E76" s="52"/>
      <c r="F76" s="46"/>
      <c r="G76" s="47"/>
      <c r="H76" s="48" t="str">
        <f aca="false">IF(G76&gt;=90,"Xuất sắc",IF(G76&gt;=80,"Tốt",IF(G76&gt;=65,"Khá",IF(G76&gt;=50,"TB",""))))</f>
        <v/>
      </c>
      <c r="I76" s="49"/>
    </row>
    <row r="77" customFormat="false" ht="25.5" hidden="false" customHeight="true" outlineLevel="0" collapsed="false">
      <c r="A77" s="55" t="n">
        <v>48</v>
      </c>
      <c r="B77" s="55"/>
      <c r="C77" s="56"/>
      <c r="D77" s="57"/>
      <c r="E77" s="58"/>
      <c r="F77" s="59"/>
      <c r="G77" s="60"/>
      <c r="H77" s="61" t="str">
        <f aca="false">IF(G77&gt;=90,"Xuất sắc",IF(G77&gt;=80,"Tốt",IF(G77&gt;=65,"Khá",IF(G77&gt;=50,"TB",""))))</f>
        <v/>
      </c>
      <c r="I77" s="62"/>
    </row>
    <row r="78" customFormat="false" ht="6" hidden="false" customHeight="true" outlineLevel="0" collapsed="false">
      <c r="A78" s="63"/>
      <c r="B78" s="63"/>
      <c r="C78" s="64"/>
      <c r="D78" s="64"/>
      <c r="E78" s="65"/>
      <c r="F78" s="66"/>
      <c r="G78" s="67"/>
      <c r="H78" s="68"/>
      <c r="I78" s="29"/>
    </row>
    <row r="79" customFormat="false" ht="18.95" hidden="false" customHeight="true" outlineLevel="0" collapsed="false">
      <c r="A79" s="69" t="s">
        <v>32</v>
      </c>
      <c r="D79" s="70"/>
      <c r="E79" s="71"/>
    </row>
    <row r="80" customFormat="false" ht="8.25" hidden="false" customHeight="true" outlineLevel="0" collapsed="false">
      <c r="A80" s="69"/>
      <c r="D80" s="70"/>
      <c r="E80" s="71"/>
    </row>
    <row r="81" customFormat="false" ht="18.95" hidden="false" customHeight="true" outlineLevel="0" collapsed="false">
      <c r="B81" s="72" t="s">
        <v>33</v>
      </c>
      <c r="C81" s="73" t="n">
        <f aca="false">COUNTA(B30:B77)</f>
        <v>0</v>
      </c>
      <c r="D81" s="74" t="s">
        <v>34</v>
      </c>
      <c r="E81" s="75"/>
    </row>
    <row r="82" customFormat="false" ht="18.95" hidden="false" customHeight="true" outlineLevel="0" collapsed="false">
      <c r="B82" s="76" t="s">
        <v>35</v>
      </c>
      <c r="C82" s="77" t="s">
        <v>36</v>
      </c>
      <c r="D82" s="78" t="n">
        <f aca="false">COUNTIF($H$30:$H$77,"Xuất sắc")</f>
        <v>0</v>
      </c>
      <c r="E82" s="79" t="s">
        <v>37</v>
      </c>
    </row>
    <row r="83" customFormat="false" ht="18.95" hidden="false" customHeight="true" outlineLevel="0" collapsed="false">
      <c r="B83" s="79"/>
      <c r="C83" s="77" t="s">
        <v>38</v>
      </c>
      <c r="D83" s="80" t="n">
        <f aca="false">COUNTIF($H$30:$H$77,"Tốt")</f>
        <v>0</v>
      </c>
      <c r="E83" s="79" t="s">
        <v>37</v>
      </c>
    </row>
    <row r="84" customFormat="false" ht="18.95" hidden="false" customHeight="true" outlineLevel="0" collapsed="false">
      <c r="B84" s="79"/>
      <c r="C84" s="77" t="s">
        <v>39</v>
      </c>
      <c r="D84" s="80" t="n">
        <f aca="false">COUNTIF($H$30:$H$77,"Khá")</f>
        <v>0</v>
      </c>
      <c r="E84" s="79" t="s">
        <v>37</v>
      </c>
    </row>
    <row r="85" customFormat="false" ht="18.95" hidden="false" customHeight="true" outlineLevel="0" collapsed="false">
      <c r="B85" s="79"/>
      <c r="C85" s="77" t="s">
        <v>40</v>
      </c>
      <c r="D85" s="80" t="n">
        <f aca="false">COUNTIF($H$30:$H$77,"TB")</f>
        <v>0</v>
      </c>
      <c r="E85" s="79" t="s">
        <v>37</v>
      </c>
    </row>
    <row r="86" customFormat="false" ht="18.95" hidden="false" customHeight="true" outlineLevel="0" collapsed="false">
      <c r="B86" s="79"/>
      <c r="C86" s="77" t="s">
        <v>41</v>
      </c>
      <c r="D86" s="80" t="n">
        <f aca="false">COUNTIF($H$30:$H$77,"Yếu")</f>
        <v>0</v>
      </c>
      <c r="E86" s="79" t="s">
        <v>37</v>
      </c>
    </row>
    <row r="87" customFormat="false" ht="18.95" hidden="false" customHeight="true" outlineLevel="0" collapsed="false">
      <c r="A87" s="81" t="s">
        <v>42</v>
      </c>
      <c r="B87" s="81"/>
      <c r="C87" s="81"/>
      <c r="D87" s="82" t="s">
        <v>43</v>
      </c>
      <c r="E87" s="82"/>
      <c r="F87" s="82"/>
      <c r="G87" s="82" t="s">
        <v>44</v>
      </c>
      <c r="H87" s="82"/>
      <c r="I87" s="82"/>
    </row>
    <row r="88" customFormat="false" ht="18.95" hidden="false" customHeight="true" outlineLevel="0" collapsed="false">
      <c r="D88" s="82"/>
      <c r="E88" s="82"/>
      <c r="F88" s="82"/>
      <c r="H88" s="81"/>
      <c r="I88" s="81"/>
    </row>
    <row r="89" customFormat="false" ht="18.95" hidden="false" customHeight="true" outlineLevel="0" collapsed="false">
      <c r="D89" s="70"/>
      <c r="E89" s="71"/>
    </row>
    <row r="90" customFormat="false" ht="18.95" hidden="false" customHeight="true" outlineLevel="0" collapsed="false">
      <c r="D90" s="70"/>
      <c r="E90" s="71"/>
    </row>
    <row r="91" customFormat="false" ht="18.95" hidden="false" customHeight="true" outlineLevel="0" collapsed="false">
      <c r="D91" s="70"/>
      <c r="E91" s="71"/>
    </row>
    <row r="92" customFormat="false" ht="18.95" hidden="false" customHeight="true" outlineLevel="0" collapsed="false">
      <c r="D92" s="70"/>
      <c r="E92" s="71"/>
    </row>
    <row r="93" customFormat="false" ht="18.95" hidden="false" customHeight="true" outlineLevel="0" collapsed="false">
      <c r="D93" s="70"/>
      <c r="E93" s="71"/>
    </row>
    <row r="94" customFormat="false" ht="18.95" hidden="false" customHeight="true" outlineLevel="0" collapsed="false">
      <c r="D94" s="70"/>
      <c r="E94" s="71"/>
    </row>
    <row r="95" customFormat="false" ht="18.95" hidden="false" customHeight="true" outlineLevel="0" collapsed="false">
      <c r="D95" s="70"/>
      <c r="E95" s="71"/>
    </row>
    <row r="96" customFormat="false" ht="18.95" hidden="false" customHeight="true" outlineLevel="0" collapsed="false">
      <c r="D96" s="70"/>
      <c r="E96" s="71"/>
    </row>
    <row r="97" customFormat="false" ht="18.95" hidden="false" customHeight="true" outlineLevel="0" collapsed="false">
      <c r="D97" s="70"/>
      <c r="E97" s="71"/>
    </row>
    <row r="98" customFormat="false" ht="18.95" hidden="false" customHeight="true" outlineLevel="0" collapsed="false">
      <c r="D98" s="70"/>
      <c r="E98" s="71"/>
    </row>
    <row r="99" customFormat="false" ht="18.95" hidden="false" customHeight="true" outlineLevel="0" collapsed="false">
      <c r="D99" s="70"/>
      <c r="E99" s="71"/>
    </row>
    <row r="100" customFormat="false" ht="18.95" hidden="false" customHeight="true" outlineLevel="0" collapsed="false">
      <c r="D100" s="70"/>
      <c r="E100" s="71"/>
    </row>
    <row r="101" customFormat="false" ht="18.95" hidden="false" customHeight="true" outlineLevel="0" collapsed="false">
      <c r="D101" s="70"/>
      <c r="E101" s="71"/>
    </row>
    <row r="102" customFormat="false" ht="18.95" hidden="false" customHeight="true" outlineLevel="0" collapsed="false">
      <c r="D102" s="70"/>
      <c r="E102" s="71"/>
    </row>
    <row r="103" customFormat="false" ht="18.95" hidden="false" customHeight="true" outlineLevel="0" collapsed="false">
      <c r="D103" s="70"/>
      <c r="E103" s="71"/>
    </row>
    <row r="104" customFormat="false" ht="18.95" hidden="false" customHeight="true" outlineLevel="0" collapsed="false">
      <c r="D104" s="70"/>
      <c r="E104" s="71"/>
    </row>
    <row r="105" customFormat="false" ht="18.95" hidden="false" customHeight="true" outlineLevel="0" collapsed="false">
      <c r="D105" s="70"/>
      <c r="E105" s="71"/>
    </row>
    <row r="106" customFormat="false" ht="18.95" hidden="false" customHeight="true" outlineLevel="0" collapsed="false">
      <c r="D106" s="70"/>
      <c r="E106" s="71"/>
    </row>
    <row r="107" customFormat="false" ht="18.95" hidden="false" customHeight="true" outlineLevel="0" collapsed="false">
      <c r="D107" s="70"/>
      <c r="E107" s="71"/>
    </row>
    <row r="108" customFormat="false" ht="18.95" hidden="false" customHeight="true" outlineLevel="0" collapsed="false">
      <c r="D108" s="70"/>
      <c r="E108" s="71"/>
    </row>
    <row r="109" customFormat="false" ht="18.95" hidden="false" customHeight="true" outlineLevel="0" collapsed="false">
      <c r="D109" s="70"/>
      <c r="E109" s="71"/>
    </row>
    <row r="110" customFormat="false" ht="18.95" hidden="false" customHeight="true" outlineLevel="0" collapsed="false">
      <c r="D110" s="70"/>
      <c r="E110" s="71"/>
    </row>
    <row r="111" customFormat="false" ht="18.95" hidden="false" customHeight="true" outlineLevel="0" collapsed="false">
      <c r="D111" s="70"/>
      <c r="E111" s="71"/>
    </row>
    <row r="112" customFormat="false" ht="18.95" hidden="false" customHeight="true" outlineLevel="0" collapsed="false">
      <c r="D112" s="70"/>
      <c r="E112" s="71"/>
    </row>
    <row r="113" customFormat="false" ht="18.95" hidden="false" customHeight="true" outlineLevel="0" collapsed="false">
      <c r="D113" s="70"/>
      <c r="E113" s="71"/>
    </row>
    <row r="114" customFormat="false" ht="18.95" hidden="false" customHeight="true" outlineLevel="0" collapsed="false">
      <c r="D114" s="70"/>
      <c r="E114" s="71"/>
    </row>
    <row r="115" customFormat="false" ht="18.95" hidden="false" customHeight="true" outlineLevel="0" collapsed="false">
      <c r="D115" s="70"/>
      <c r="E115" s="71"/>
    </row>
    <row r="116" customFormat="false" ht="18.95" hidden="false" customHeight="true" outlineLevel="0" collapsed="false">
      <c r="D116" s="70"/>
      <c r="E116" s="71"/>
    </row>
    <row r="117" customFormat="false" ht="18.95" hidden="false" customHeight="true" outlineLevel="0" collapsed="false">
      <c r="D117" s="70"/>
      <c r="E117" s="71"/>
    </row>
    <row r="118" customFormat="false" ht="18.95" hidden="false" customHeight="true" outlineLevel="0" collapsed="false">
      <c r="D118" s="70"/>
      <c r="E118" s="71"/>
    </row>
    <row r="119" customFormat="false" ht="18.95" hidden="false" customHeight="true" outlineLevel="0" collapsed="false">
      <c r="D119" s="70"/>
      <c r="E119" s="71"/>
    </row>
    <row r="120" customFormat="false" ht="18.95" hidden="false" customHeight="true" outlineLevel="0" collapsed="false">
      <c r="D120" s="70"/>
      <c r="E120" s="71"/>
    </row>
    <row r="121" customFormat="false" ht="18.95" hidden="false" customHeight="true" outlineLevel="0" collapsed="false">
      <c r="D121" s="70"/>
      <c r="E121" s="71"/>
    </row>
    <row r="122" customFormat="false" ht="18.95" hidden="false" customHeight="true" outlineLevel="0" collapsed="false">
      <c r="D122" s="70"/>
      <c r="E122" s="71"/>
    </row>
    <row r="123" customFormat="false" ht="18.95" hidden="false" customHeight="true" outlineLevel="0" collapsed="false">
      <c r="D123" s="70"/>
      <c r="E123" s="71"/>
    </row>
    <row r="124" customFormat="false" ht="18.95" hidden="false" customHeight="true" outlineLevel="0" collapsed="false">
      <c r="D124" s="70"/>
      <c r="E124" s="71"/>
    </row>
    <row r="125" customFormat="false" ht="18.95" hidden="false" customHeight="true" outlineLevel="0" collapsed="false">
      <c r="D125" s="70"/>
      <c r="E125" s="71"/>
    </row>
    <row r="126" customFormat="false" ht="18.95" hidden="false" customHeight="true" outlineLevel="0" collapsed="false">
      <c r="D126" s="70"/>
      <c r="E126" s="71"/>
    </row>
    <row r="127" customFormat="false" ht="18.95" hidden="false" customHeight="true" outlineLevel="0" collapsed="false">
      <c r="D127" s="70"/>
      <c r="E127" s="71"/>
    </row>
    <row r="128" customFormat="false" ht="18.95" hidden="false" customHeight="true" outlineLevel="0" collapsed="false">
      <c r="D128" s="70"/>
      <c r="E128" s="71"/>
    </row>
    <row r="129" customFormat="false" ht="18.95" hidden="false" customHeight="true" outlineLevel="0" collapsed="false">
      <c r="D129" s="70"/>
      <c r="E129" s="71"/>
    </row>
    <row r="130" customFormat="false" ht="18.95" hidden="false" customHeight="true" outlineLevel="0" collapsed="false">
      <c r="D130" s="70"/>
      <c r="E130" s="71"/>
    </row>
    <row r="131" customFormat="false" ht="18.95" hidden="false" customHeight="true" outlineLevel="0" collapsed="false">
      <c r="D131" s="70"/>
      <c r="E131" s="71"/>
    </row>
    <row r="132" customFormat="false" ht="18.95" hidden="false" customHeight="true" outlineLevel="0" collapsed="false">
      <c r="D132" s="70"/>
      <c r="E132" s="71"/>
    </row>
    <row r="133" customFormat="false" ht="18.95" hidden="false" customHeight="true" outlineLevel="0" collapsed="false">
      <c r="D133" s="70"/>
      <c r="E133" s="71"/>
    </row>
    <row r="134" customFormat="false" ht="18.95" hidden="false" customHeight="true" outlineLevel="0" collapsed="false">
      <c r="D134" s="70"/>
      <c r="E134" s="71"/>
    </row>
    <row r="135" customFormat="false" ht="18.95" hidden="false" customHeight="true" outlineLevel="0" collapsed="false">
      <c r="D135" s="70"/>
      <c r="E135" s="71"/>
    </row>
    <row r="136" customFormat="false" ht="18.95" hidden="false" customHeight="true" outlineLevel="0" collapsed="false">
      <c r="D136" s="70"/>
      <c r="E136" s="71"/>
    </row>
    <row r="137" customFormat="false" ht="18.95" hidden="false" customHeight="true" outlineLevel="0" collapsed="false">
      <c r="D137" s="70"/>
      <c r="E137" s="71"/>
    </row>
    <row r="138" customFormat="false" ht="18.95" hidden="false" customHeight="true" outlineLevel="0" collapsed="false">
      <c r="D138" s="70"/>
      <c r="E138" s="71"/>
    </row>
    <row r="139" customFormat="false" ht="18.95" hidden="false" customHeight="true" outlineLevel="0" collapsed="false">
      <c r="D139" s="70"/>
      <c r="E139" s="71"/>
    </row>
    <row r="140" customFormat="false" ht="18.95" hidden="false" customHeight="true" outlineLevel="0" collapsed="false">
      <c r="D140" s="70"/>
      <c r="E140" s="71"/>
    </row>
    <row r="141" customFormat="false" ht="18.95" hidden="false" customHeight="true" outlineLevel="0" collapsed="false">
      <c r="D141" s="70"/>
      <c r="E141" s="71"/>
    </row>
    <row r="142" customFormat="false" ht="18.95" hidden="false" customHeight="true" outlineLevel="0" collapsed="false">
      <c r="D142" s="70"/>
      <c r="E142" s="71"/>
    </row>
    <row r="143" customFormat="false" ht="18.95" hidden="false" customHeight="true" outlineLevel="0" collapsed="false">
      <c r="D143" s="70"/>
      <c r="E143" s="71"/>
    </row>
    <row r="144" customFormat="false" ht="18.95" hidden="false" customHeight="true" outlineLevel="0" collapsed="false">
      <c r="D144" s="70"/>
      <c r="E144" s="71"/>
    </row>
    <row r="145" customFormat="false" ht="18.95" hidden="false" customHeight="true" outlineLevel="0" collapsed="false">
      <c r="D145" s="70"/>
      <c r="E145" s="71"/>
    </row>
    <row r="146" customFormat="false" ht="18.95" hidden="false" customHeight="true" outlineLevel="0" collapsed="false">
      <c r="D146" s="70"/>
      <c r="E146" s="71"/>
    </row>
    <row r="147" customFormat="false" ht="18.95" hidden="false" customHeight="true" outlineLevel="0" collapsed="false">
      <c r="D147" s="70"/>
      <c r="E147" s="71"/>
    </row>
    <row r="148" customFormat="false" ht="18.95" hidden="false" customHeight="true" outlineLevel="0" collapsed="false">
      <c r="D148" s="70"/>
      <c r="E148" s="71"/>
    </row>
    <row r="149" customFormat="false" ht="18.95" hidden="false" customHeight="true" outlineLevel="0" collapsed="false">
      <c r="D149" s="70"/>
      <c r="E149" s="71"/>
    </row>
    <row r="150" customFormat="false" ht="18.95" hidden="false" customHeight="true" outlineLevel="0" collapsed="false">
      <c r="D150" s="70"/>
      <c r="E150" s="71"/>
    </row>
    <row r="151" customFormat="false" ht="18.95" hidden="false" customHeight="true" outlineLevel="0" collapsed="false">
      <c r="D151" s="70"/>
      <c r="E151" s="71"/>
    </row>
    <row r="152" customFormat="false" ht="18.95" hidden="false" customHeight="true" outlineLevel="0" collapsed="false">
      <c r="D152" s="70"/>
      <c r="E152" s="71"/>
    </row>
    <row r="153" customFormat="false" ht="18.95" hidden="false" customHeight="true" outlineLevel="0" collapsed="false">
      <c r="D153" s="70"/>
      <c r="E153" s="71"/>
    </row>
    <row r="154" customFormat="false" ht="18.95" hidden="false" customHeight="true" outlineLevel="0" collapsed="false">
      <c r="D154" s="70"/>
      <c r="E154" s="71"/>
    </row>
    <row r="155" customFormat="false" ht="18.95" hidden="false" customHeight="true" outlineLevel="0" collapsed="false">
      <c r="D155" s="70"/>
      <c r="E155" s="71"/>
    </row>
    <row r="156" customFormat="false" ht="18.95" hidden="false" customHeight="true" outlineLevel="0" collapsed="false">
      <c r="D156" s="70"/>
      <c r="E156" s="71"/>
    </row>
    <row r="157" customFormat="false" ht="18.95" hidden="false" customHeight="true" outlineLevel="0" collapsed="false">
      <c r="D157" s="70"/>
      <c r="E157" s="71"/>
    </row>
    <row r="158" customFormat="false" ht="18.95" hidden="false" customHeight="true" outlineLevel="0" collapsed="false">
      <c r="D158" s="70"/>
      <c r="E158" s="71"/>
    </row>
    <row r="159" customFormat="false" ht="18.95" hidden="false" customHeight="true" outlineLevel="0" collapsed="false">
      <c r="D159" s="70"/>
      <c r="E159" s="71"/>
    </row>
    <row r="160" customFormat="false" ht="18.95" hidden="false" customHeight="true" outlineLevel="0" collapsed="false">
      <c r="D160" s="70"/>
      <c r="E160" s="71"/>
    </row>
    <row r="161" customFormat="false" ht="18.95" hidden="false" customHeight="true" outlineLevel="0" collapsed="false">
      <c r="D161" s="70"/>
      <c r="E161" s="71"/>
    </row>
    <row r="162" customFormat="false" ht="18.95" hidden="false" customHeight="true" outlineLevel="0" collapsed="false">
      <c r="D162" s="70"/>
      <c r="E162" s="71"/>
    </row>
    <row r="163" customFormat="false" ht="18.95" hidden="false" customHeight="true" outlineLevel="0" collapsed="false">
      <c r="D163" s="70"/>
      <c r="E163" s="71"/>
    </row>
    <row r="164" customFormat="false" ht="18.95" hidden="false" customHeight="true" outlineLevel="0" collapsed="false">
      <c r="D164" s="70"/>
      <c r="E164" s="71"/>
    </row>
    <row r="165" customFormat="false" ht="18.95" hidden="false" customHeight="true" outlineLevel="0" collapsed="false">
      <c r="D165" s="70"/>
      <c r="E165" s="71"/>
    </row>
    <row r="166" customFormat="false" ht="18.95" hidden="false" customHeight="true" outlineLevel="0" collapsed="false">
      <c r="D166" s="70"/>
      <c r="E166" s="71"/>
    </row>
    <row r="167" customFormat="false" ht="18.95" hidden="false" customHeight="true" outlineLevel="0" collapsed="false">
      <c r="D167" s="70"/>
      <c r="E167" s="71"/>
    </row>
    <row r="168" customFormat="false" ht="18.95" hidden="false" customHeight="true" outlineLevel="0" collapsed="false">
      <c r="D168" s="70"/>
      <c r="E168" s="71"/>
    </row>
    <row r="169" customFormat="false" ht="18.95" hidden="false" customHeight="true" outlineLevel="0" collapsed="false">
      <c r="D169" s="70"/>
      <c r="E169" s="71"/>
    </row>
    <row r="170" customFormat="false" ht="18.95" hidden="false" customHeight="true" outlineLevel="0" collapsed="false">
      <c r="D170" s="70"/>
      <c r="E170" s="71"/>
    </row>
    <row r="171" customFormat="false" ht="18.95" hidden="false" customHeight="true" outlineLevel="0" collapsed="false">
      <c r="D171" s="70"/>
      <c r="E171" s="71"/>
    </row>
    <row r="172" customFormat="false" ht="18.95" hidden="false" customHeight="true" outlineLevel="0" collapsed="false">
      <c r="D172" s="70"/>
      <c r="E172" s="71"/>
    </row>
    <row r="173" customFormat="false" ht="18.95" hidden="false" customHeight="true" outlineLevel="0" collapsed="false">
      <c r="D173" s="70"/>
      <c r="E173" s="71"/>
    </row>
    <row r="174" customFormat="false" ht="18.95" hidden="false" customHeight="true" outlineLevel="0" collapsed="false">
      <c r="D174" s="70"/>
      <c r="E174" s="71"/>
    </row>
    <row r="175" customFormat="false" ht="18.95" hidden="false" customHeight="true" outlineLevel="0" collapsed="false">
      <c r="D175" s="70"/>
      <c r="E175" s="71"/>
    </row>
    <row r="176" customFormat="false" ht="18.95" hidden="false" customHeight="true" outlineLevel="0" collapsed="false">
      <c r="D176" s="70"/>
      <c r="E176" s="71"/>
    </row>
    <row r="177" customFormat="false" ht="18.95" hidden="false" customHeight="true" outlineLevel="0" collapsed="false">
      <c r="D177" s="70"/>
      <c r="E177" s="71"/>
    </row>
    <row r="178" customFormat="false" ht="18.95" hidden="false" customHeight="true" outlineLevel="0" collapsed="false">
      <c r="D178" s="70"/>
      <c r="E178" s="71"/>
    </row>
    <row r="179" customFormat="false" ht="18.95" hidden="false" customHeight="true" outlineLevel="0" collapsed="false">
      <c r="D179" s="70"/>
      <c r="E179" s="71"/>
    </row>
    <row r="180" customFormat="false" ht="18.95" hidden="false" customHeight="true" outlineLevel="0" collapsed="false">
      <c r="D180" s="70"/>
      <c r="E180" s="71"/>
    </row>
    <row r="181" customFormat="false" ht="18.95" hidden="false" customHeight="true" outlineLevel="0" collapsed="false">
      <c r="D181" s="70"/>
      <c r="E181" s="71"/>
    </row>
    <row r="182" customFormat="false" ht="18.95" hidden="false" customHeight="true" outlineLevel="0" collapsed="false">
      <c r="D182" s="70"/>
      <c r="E182" s="71"/>
    </row>
    <row r="183" customFormat="false" ht="18.95" hidden="false" customHeight="true" outlineLevel="0" collapsed="false">
      <c r="D183" s="70"/>
      <c r="E183" s="71"/>
    </row>
    <row r="184" customFormat="false" ht="18.95" hidden="false" customHeight="true" outlineLevel="0" collapsed="false">
      <c r="D184" s="70"/>
      <c r="E184" s="71"/>
    </row>
    <row r="185" customFormat="false" ht="18.95" hidden="false" customHeight="true" outlineLevel="0" collapsed="false">
      <c r="D185" s="70"/>
      <c r="E185" s="71"/>
    </row>
    <row r="186" customFormat="false" ht="18.95" hidden="false" customHeight="true" outlineLevel="0" collapsed="false">
      <c r="D186" s="70"/>
      <c r="E186" s="71"/>
    </row>
    <row r="187" customFormat="false" ht="18.95" hidden="false" customHeight="true" outlineLevel="0" collapsed="false">
      <c r="D187" s="70"/>
      <c r="E187" s="71"/>
    </row>
    <row r="188" customFormat="false" ht="18.95" hidden="false" customHeight="true" outlineLevel="0" collapsed="false">
      <c r="D188" s="70"/>
      <c r="E188" s="71"/>
    </row>
    <row r="189" customFormat="false" ht="18.95" hidden="false" customHeight="true" outlineLevel="0" collapsed="false">
      <c r="D189" s="70"/>
      <c r="E189" s="71"/>
    </row>
    <row r="190" customFormat="false" ht="18.95" hidden="false" customHeight="true" outlineLevel="0" collapsed="false">
      <c r="D190" s="70"/>
      <c r="E190" s="71"/>
    </row>
    <row r="191" customFormat="false" ht="18.95" hidden="false" customHeight="true" outlineLevel="0" collapsed="false">
      <c r="D191" s="70"/>
      <c r="E191" s="71"/>
    </row>
    <row r="192" customFormat="false" ht="18.95" hidden="false" customHeight="true" outlineLevel="0" collapsed="false">
      <c r="D192" s="70"/>
      <c r="E192" s="71"/>
    </row>
    <row r="193" customFormat="false" ht="18.95" hidden="false" customHeight="true" outlineLevel="0" collapsed="false">
      <c r="D193" s="70"/>
      <c r="E193" s="71"/>
    </row>
    <row r="194" customFormat="false" ht="18.95" hidden="false" customHeight="true" outlineLevel="0" collapsed="false">
      <c r="D194" s="70"/>
      <c r="E194" s="71"/>
    </row>
    <row r="195" customFormat="false" ht="18.95" hidden="false" customHeight="true" outlineLevel="0" collapsed="false">
      <c r="D195" s="70"/>
      <c r="E195" s="71"/>
    </row>
    <row r="196" customFormat="false" ht="18.95" hidden="false" customHeight="true" outlineLevel="0" collapsed="false">
      <c r="D196" s="70"/>
      <c r="E196" s="71"/>
    </row>
    <row r="197" customFormat="false" ht="18.95" hidden="false" customHeight="true" outlineLevel="0" collapsed="false">
      <c r="D197" s="70"/>
      <c r="E197" s="71"/>
    </row>
  </sheetData>
  <mergeCells count="22">
    <mergeCell ref="A1:C1"/>
    <mergeCell ref="D1:I1"/>
    <mergeCell ref="A2:C2"/>
    <mergeCell ref="A3:C3"/>
    <mergeCell ref="D3:I3"/>
    <mergeCell ref="A4:C4"/>
    <mergeCell ref="A6:I6"/>
    <mergeCell ref="A7:I7"/>
    <mergeCell ref="A8:I8"/>
    <mergeCell ref="A28:A29"/>
    <mergeCell ref="B28:B29"/>
    <mergeCell ref="C28:D29"/>
    <mergeCell ref="E28:E29"/>
    <mergeCell ref="F28:F29"/>
    <mergeCell ref="G28:G29"/>
    <mergeCell ref="H28:H29"/>
    <mergeCell ref="I28:I29"/>
    <mergeCell ref="A87:C87"/>
    <mergeCell ref="D87:F87"/>
    <mergeCell ref="G87:I87"/>
    <mergeCell ref="D88:F88"/>
    <mergeCell ref="H88:I88"/>
  </mergeCells>
  <printOptions headings="false" gridLines="false" gridLinesSet="true" horizontalCentered="false" verticalCentered="false"/>
  <pageMargins left="0.629861111111111" right="0.0652777777777778" top="0.590277777777778" bottom="0.551388888888889" header="0.511811023622047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2018-03-29T16:04:02Z</dcterms:created>
  <dc:creator>Admin</dc:creator>
  <dc:description/>
  <dc:language>vi-VN</dc:language>
  <cp:lastModifiedBy>Administrator</cp:lastModifiedBy>
  <cp:lastPrinted>2025-03-11T08:55:34Z</cp:lastPrinted>
  <dcterms:modified xsi:type="dcterms:W3CDTF">2026-08-04T22:20:43Z</dcterms:modified>
  <cp:revision>0</cp:revision>
  <dc:subject/>
  <dc:title/>
</cp:coreProperties>
</file>