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u BB HOP LOP" sheetId="1" state="visible" r:id="rId3"/>
    <sheet name="Mau BB HOP KHOA" sheetId="2" state="hidden" r:id="rId4"/>
  </sheets>
  <definedNames>
    <definedName function="false" hidden="false" localSheetId="1" name="_xlnm.Print_Titles" vbProcedure="false">'Mau BB HOP KHOA'!$17:$18</definedName>
    <definedName function="false" hidden="false" localSheetId="0" name="_xlnm.Print_Titles" vbProcedure="false">'Mau BB HOP LOP'!$29:$30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<sst xmlns="http://schemas.openxmlformats.org/spreadsheetml/2006/main" count="120" uniqueCount="95">
  <si>
    <t xml:space="preserve">KHOA:……………..……..…….</t>
  </si>
  <si>
    <t xml:space="preserve">ĐẢNG CỘNG SẢN VIỆT NAM</t>
  </si>
  <si>
    <t xml:space="preserve">LỚP:…………………………….</t>
  </si>
  <si>
    <t xml:space="preserve">*</t>
  </si>
  <si>
    <t xml:space="preserve">Đà Nẵng, ngày              tháng          năm 20….</t>
  </si>
  <si>
    <t xml:space="preserve">BIÊN BẢN HỌP LỚP…………………..</t>
  </si>
  <si>
    <t xml:space="preserve">Về việc đánh giá kết quả rèn luyện học kỳ  …. năm học:………………</t>
  </si>
  <si>
    <r>
      <rPr>
        <b val="true"/>
        <sz val="14"/>
        <rFont val="Times New Roman"/>
        <family val="1"/>
      </rPr>
      <t xml:space="preserve">I. Thời gian: </t>
    </r>
    <r>
      <rPr>
        <sz val="14"/>
        <rFont val="Times New Roman"/>
        <family val="1"/>
      </rPr>
      <t xml:space="preserve">Cuộc họp bắt đầu vào hồi:                              ngày:</t>
    </r>
  </si>
  <si>
    <r>
      <rPr>
        <b val="true"/>
        <sz val="14"/>
        <rFont val="Times New Roman"/>
        <family val="1"/>
      </rPr>
      <t xml:space="preserve">II. Địa điểm: </t>
    </r>
    <r>
      <rPr>
        <sz val="14"/>
        <rFont val="Times New Roman"/>
        <family val="1"/>
      </rPr>
      <t xml:space="preserve">….................................................................................................................</t>
    </r>
  </si>
  <si>
    <t xml:space="preserve">III. Thành phần:</t>
  </si>
  <si>
    <t xml:space="preserve">Cố vấn học tập lớp, BCS lớp, BCH chi đoàn, toàn thể sinh viên trong lớp </t>
  </si>
  <si>
    <t xml:space="preserve">Tổng số người dự họp: …................... người</t>
  </si>
  <si>
    <t xml:space="preserve">Vắng họp:…....................................... người, lý do vắng họp:….....................................</t>
  </si>
  <si>
    <t xml:space="preserve">Chủ tọa:…...................................................................................................................</t>
  </si>
  <si>
    <t xml:space="preserve">Thư ký:…......................................................................................................................</t>
  </si>
  <si>
    <t xml:space="preserve">IV. Nội dung</t>
  </si>
  <si>
    <t xml:space="preserve">       1. Lớp trưởng báo cáo kết quả tổng hợp phiếu đánh giá kết quả rèn luyện của sinh viên</t>
  </si>
  <si>
    <t xml:space="preserve">trong lớp</t>
  </si>
  <si>
    <t xml:space="preserve">       2. CVHT lớp triển khai các văn bản hướng dẫn đánh giá kết quả rèn luyện, căn cứ vào </t>
  </si>
  <si>
    <t xml:space="preserve">báo cáo của Ban cán sự lớp triển khai các bước trong quy trình đánh giá kết quả rèn luyện</t>
  </si>
  <si>
    <t xml:space="preserve">của sinh viên trong lớp.</t>
  </si>
  <si>
    <t xml:space="preserve">      3. Kết quả rèn luyện của các thành viên trong lớp:</t>
  </si>
  <si>
    <t xml:space="preserve">      Căn cứ phiếu tự đánh giá kết quả rèn luyện của các thành viên trong lớp, ý kiến nhận xét,</t>
  </si>
  <si>
    <t xml:space="preserve">đánh giá của CVHT lớp, BCS lớp, BCH chi đoàn, BCH chi hội (nếu có), Tổ trưởng các tổ; </t>
  </si>
  <si>
    <t xml:space="preserve">đối chiếu với quy chế của Bộ Giáo dục và Đào tạo và quy định của Học viện, tập thể lớp </t>
  </si>
  <si>
    <t xml:space="preserve">nhất trí thông qua kết quả rèn luyện của các thành viên trong lớp như sau:</t>
  </si>
  <si>
    <t xml:space="preserve">STT</t>
  </si>
  <si>
    <t xml:space="preserve">Mã số SV</t>
  </si>
  <si>
    <t xml:space="preserve">Họ và Tên</t>
  </si>
  <si>
    <t xml:space="preserve">Ngày sinh</t>
  </si>
  <si>
    <t xml:space="preserve">ĐRL SV 
tự đánh giá</t>
  </si>
  <si>
    <t xml:space="preserve">ĐRL lớp đánh giá</t>
  </si>
  <si>
    <t xml:space="preserve">Xếp loại</t>
  </si>
  <si>
    <t xml:space="preserve">Biểu quyết</t>
  </si>
  <si>
    <r>
      <rPr>
        <b val="true"/>
        <sz val="11"/>
        <rFont val="Times New Roman"/>
        <family val="1"/>
      </rPr>
      <t xml:space="preserve">Ghi chú
</t>
    </r>
    <r>
      <rPr>
        <sz val="8"/>
        <rFont val="Times New Roman"/>
        <family val="1"/>
      </rPr>
      <t xml:space="preserve">( kèm theo MC đối với SV xếp loại Xuất sắc, tốt,  TB, yếu, kém)</t>
    </r>
  </si>
  <si>
    <t xml:space="preserve">Tổng số: </t>
  </si>
  <si>
    <t xml:space="preserve">sinh viên</t>
  </si>
  <si>
    <t xml:space="preserve">Trong đó: </t>
  </si>
  <si>
    <t xml:space="preserve">Xuất sắc:</t>
  </si>
  <si>
    <t xml:space="preserve">Sinh viên</t>
  </si>
  <si>
    <t xml:space="preserve">Tốt:</t>
  </si>
  <si>
    <t xml:space="preserve">Khá:</t>
  </si>
  <si>
    <t xml:space="preserve">Trung bình:</t>
  </si>
  <si>
    <t xml:space="preserve">Yếu:</t>
  </si>
  <si>
    <t xml:space="preserve">      Cuộc họp kết thúc vào hồi…......giờ….......phút, ngày…....tháng…. năm</t>
  </si>
  <si>
    <t xml:space="preserve">CỐ VẤN HỌC TẬP</t>
  </si>
  <si>
    <t xml:space="preserve">LỚP TRƯỞNG</t>
  </si>
  <si>
    <t xml:space="preserve">THƯ KÝ</t>
  </si>
  <si>
    <t xml:space="preserve">TRƯỜNG ĐẠI HỌC NỘI VỤ HN</t>
  </si>
  <si>
    <t xml:space="preserve">CỘNG HÒA XÃ HỘI CHỦ NGHĨA VIỆT NAM </t>
  </si>
  <si>
    <t xml:space="preserve">KHOA/TT:………………………….</t>
  </si>
  <si>
    <t xml:space="preserve">Độc lập - Tự do - Hạnh phúc</t>
  </si>
  <si>
    <t xml:space="preserve">Hà Nội, ngày              tháng          năm</t>
  </si>
  <si>
    <t xml:space="preserve">BIÊN BẢN HỌP KHOA/TRUNG TÂM:……………………………………………</t>
  </si>
  <si>
    <t xml:space="preserve">học kỳ…………………năm học…………………………..niên khóa…………………………</t>
  </si>
  <si>
    <t xml:space="preserve">Cuộc họp bắt đầu vào hồi:                              ngày:</t>
  </si>
  <si>
    <t xml:space="preserve">Địa điểm:</t>
  </si>
  <si>
    <t xml:space="preserve">Tổng số người dự họp:                     người, vắng………………………..</t>
  </si>
  <si>
    <t xml:space="preserve">Trưởng khoa, trung tâm (chủ tọa):</t>
  </si>
  <si>
    <t xml:space="preserve">Giáo viên chủ nhiệm/Cố vấn học tập:</t>
  </si>
  <si>
    <t xml:space="preserve">Ví dụ: </t>
  </si>
  <si>
    <t xml:space="preserve">Giáo vụ khoa, trung tâm (thư ký cuộc họp):</t>
  </si>
  <si>
    <t xml:space="preserve">Sinh viên Đặng Tuấn Anh </t>
  </si>
  <si>
    <t xml:space="preserve">Căn cứ biên bản họp lớp, đối chiếu với quy chế của Bộ Giáo dục Đào tạo và quy định của</t>
  </si>
  <si>
    <t xml:space="preserve">Sinh viên tự đánh giá đạt 95 điểm</t>
  </si>
  <si>
    <t xml:space="preserve">Trường, Khoa (Trung tâm) nhất trí đánh giá điểm rèn luyện của sinh viên lớp:                                                                                           như sau</t>
  </si>
  <si>
    <t xml:space="preserve">Lớp đánh giá: 90 </t>
  </si>
  <si>
    <t xml:space="preserve">như sau:</t>
  </si>
  <si>
    <t xml:space="preserve">Thì ban cán sự lớp làm như sau:</t>
  </si>
  <si>
    <t xml:space="preserve">Nhập điểm </t>
  </si>
  <si>
    <t xml:space="preserve">vào đẳng excel</t>
  </si>
  <si>
    <t xml:space="preserve">Năm sinh</t>
  </si>
  <si>
    <t xml:space="preserve">ĐRL tập thể lớp đánh giá</t>
  </si>
  <si>
    <t xml:space="preserve">ĐRL Khoa đánh giá</t>
  </si>
  <si>
    <t xml:space="preserve">CVHT/GVCN Đánh giá RL SV</t>
  </si>
  <si>
    <t xml:space="preserve">Khoa Đánh giá               Rèn luyện SV</t>
  </si>
  <si>
    <t xml:space="preserve">Điểm Rèn luyện </t>
  </si>
  <si>
    <t xml:space="preserve">Ghi chú</t>
  </si>
  <si>
    <t xml:space="preserve">Lớp đánh giá là 90</t>
  </si>
  <si>
    <t xml:space="preserve">Điểm RL</t>
  </si>
  <si>
    <t xml:space="preserve">Xếp loại</t>
  </si>
  <si>
    <t xml:space="preserve">Biểu quyết 100%</t>
  </si>
  <si>
    <t xml:space="preserve">Bảng excel sẽ tự tính cho bạn sinh viên Đặng Tuấn Anh đạt loại gì</t>
  </si>
  <si>
    <t xml:space="preserve">ở cuối bảng tinh</t>
  </si>
  <si>
    <t xml:space="preserve">Như vậy sinh viên đạt loại xuất sắc</t>
  </si>
  <si>
    <t xml:space="preserve">Ví dụ 2: Sinh viên Nguyễn Quỳnh Anh</t>
  </si>
  <si>
    <t xml:space="preserve">Tự đánh giá 70</t>
  </si>
  <si>
    <t xml:space="preserve">Lớp đánh giá 70</t>
  </si>
  <si>
    <t xml:space="preserve">Bảng tính sẽ tự động cập nhất vào bảng nếu có chỉnh sửa gì thì chính còn không thì để nguyên kết quả điểm như vậy</t>
  </si>
  <si>
    <t xml:space="preserve">Ban cán ự lớp sẽ nhập biểu quyết vào là 100%</t>
  </si>
  <si>
    <t xml:space="preserve">như vậy Bảng tính sẽ tự tính ra là trong lớp đang có 01 bạn loại Khá</t>
  </si>
  <si>
    <t xml:space="preserve">Cứ như vậy Các em nhập đầy đủ tất cả sinh viên vào</t>
  </si>
  <si>
    <t xml:space="preserve">Những trường họp ko có tên, ko đi học, bỏ học, xóa tên thì các em bỏ trống</t>
  </si>
  <si>
    <t xml:space="preserve">TRƯỞNG KHOA</t>
  </si>
  <si>
    <t xml:space="preserve">GIÁO VIÊN CHỦ NHIỆM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</si>
</sst>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  <font>
      <sz val="13"/>
      <name val="Times New Roman"/>
      <family val="1"/>
    </font>
    <font>
      <b val="true"/>
      <u val="single"/>
      <sz val="14"/>
      <name val="Times New Roman"/>
      <family val="1"/>
    </font>
    <font>
      <b val="true"/>
      <sz val="13"/>
      <name val="Times New Roman"/>
      <family val="1"/>
    </font>
    <font>
      <b val="true"/>
      <sz val="12"/>
      <name val="Times New Roman"/>
      <family val="1"/>
    </font>
    <font>
      <i val="true"/>
      <sz val="12"/>
      <name val="Times New Roman"/>
      <family val="1"/>
    </font>
    <font>
      <b val="true"/>
      <sz val="14"/>
      <name val="Times New Roman"/>
      <family val="1"/>
    </font>
    <font>
      <i val="true"/>
      <sz val="14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 val="true"/>
      <sz val="11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3"/>
      <name val="Arial"/>
      <family val="2"/>
    </font>
    <font>
      <b val="true"/>
      <u val="single"/>
      <sz val="12"/>
      <name val="Times New Roman"/>
      <family val="1"/>
    </font>
    <font>
      <sz val="10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2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1" fillId="0" borderId="0" xfId="2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11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3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13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2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2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5" fillId="2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3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4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7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6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7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7" fillId="0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5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6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7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4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7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9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1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7" fillId="0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4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5" fillId="0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4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3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6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7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4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7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4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130680</xdr:colOff>
      <xdr:row>6</xdr:row>
      <xdr:rowOff>19440</xdr:rowOff>
    </xdr:from>
    <xdr:to>
      <xdr:col>5</xdr:col>
      <xdr:colOff>162000</xdr:colOff>
      <xdr:row>6</xdr:row>
      <xdr:rowOff>19440</xdr:rowOff>
    </xdr:to>
    <xdr:sp>
      <xdr:nvSpPr>
        <xdr:cNvPr id="1" name="Straight Connector 3"/>
        <xdr:cNvSpPr/>
      </xdr:nvSpPr>
      <xdr:spPr>
        <a:xfrm>
          <a:off x="2504160" y="1463400"/>
          <a:ext cx="1248840" cy="0"/>
        </a:xfrm>
        <a:prstGeom prst="line">
          <a:avLst/>
        </a:prstGeom>
        <a:ln w="12600">
          <a:solidFill>
            <a:srgbClr val="000000"/>
          </a:solidFill>
          <a:prstDash val="dash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CFF"/>
    <pageSetUpPr fitToPage="false"/>
  </sheetPr>
  <dimension ref="A1:IW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8.95" customHeight="true" zeroHeight="false" outlineLevelRow="0" outlineLevelCol="0"/>
  <cols>
    <col collapsed="false" customWidth="true" hidden="false" outlineLevel="0" max="1" min="1" style="1" width="4.56"/>
    <col collapsed="false" customWidth="true" hidden="false" outlineLevel="0" max="2" min="2" style="2" width="13.56"/>
    <col collapsed="false" customWidth="true" hidden="false" outlineLevel="0" max="3" min="3" style="1" width="15.56"/>
    <col collapsed="false" customWidth="true" hidden="false" outlineLevel="0" max="4" min="4" style="3" width="7.14"/>
    <col collapsed="false" customWidth="true" hidden="false" outlineLevel="0" max="5" min="5" style="4" width="10.13"/>
    <col collapsed="false" customWidth="true" hidden="false" outlineLevel="0" max="6" min="6" style="1" width="10.99"/>
    <col collapsed="false" customWidth="true" hidden="false" outlineLevel="0" max="7" min="7" style="1" width="8.56"/>
    <col collapsed="false" customWidth="true" hidden="false" outlineLevel="0" max="8" min="8" style="1" width="8.28"/>
    <col collapsed="false" customWidth="true" hidden="false" outlineLevel="0" max="9" min="9" style="1" width="7.28"/>
    <col collapsed="false" customWidth="true" hidden="false" outlineLevel="0" max="10" min="10" style="1" width="7.85"/>
    <col collapsed="false" customWidth="false" hidden="false" outlineLevel="0" max="257" min="11" style="1" width="9.14"/>
  </cols>
  <sheetData>
    <row r="1" customFormat="false" ht="18.95" hidden="false" customHeight="true" outlineLevel="0" collapsed="false">
      <c r="A1" s="5" t="s">
        <v>0</v>
      </c>
      <c r="B1" s="5"/>
      <c r="C1" s="5"/>
      <c r="D1" s="5"/>
      <c r="E1" s="6" t="s">
        <v>1</v>
      </c>
      <c r="F1" s="6"/>
      <c r="G1" s="6"/>
      <c r="H1" s="6"/>
      <c r="I1" s="6"/>
      <c r="J1" s="6"/>
    </row>
    <row r="2" customFormat="false" ht="18.95" hidden="false" customHeight="true" outlineLevel="0" collapsed="false">
      <c r="A2" s="7" t="s">
        <v>2</v>
      </c>
      <c r="B2" s="7"/>
      <c r="C2" s="7"/>
      <c r="D2" s="7"/>
      <c r="E2" s="8"/>
      <c r="F2" s="8"/>
      <c r="G2" s="8"/>
      <c r="H2" s="8"/>
      <c r="I2" s="8"/>
      <c r="J2" s="8"/>
    </row>
    <row r="3" customFormat="false" ht="18.95" hidden="false" customHeight="true" outlineLevel="0" collapsed="false">
      <c r="A3" s="9" t="s">
        <v>3</v>
      </c>
      <c r="B3" s="9"/>
      <c r="C3" s="9"/>
      <c r="D3" s="9"/>
      <c r="E3" s="10" t="s">
        <v>4</v>
      </c>
      <c r="F3" s="10"/>
      <c r="G3" s="10"/>
      <c r="H3" s="10"/>
      <c r="I3" s="10"/>
      <c r="J3" s="10"/>
    </row>
    <row r="4" customFormat="false" ht="18.95" hidden="false" customHeight="true" outlineLevel="0" collapsed="false">
      <c r="E4" s="1"/>
    </row>
    <row r="5" customFormat="false" ht="18.95" hidden="false" customHeight="true" outlineLevel="0" collapsed="false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.95" hidden="false" customHeight="true" outlineLevel="0" collapsed="false">
      <c r="A6" s="12" t="s">
        <v>6</v>
      </c>
      <c r="B6" s="12"/>
      <c r="C6" s="12"/>
      <c r="D6" s="12"/>
      <c r="E6" s="12"/>
      <c r="F6" s="12"/>
      <c r="G6" s="12"/>
      <c r="H6" s="12"/>
      <c r="I6" s="12"/>
      <c r="J6" s="1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8.2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</row>
    <row r="8" customFormat="false" ht="8.2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</row>
    <row r="9" customFormat="false" ht="18.95" hidden="false" customHeight="true" outlineLevel="0" collapsed="false">
      <c r="A9" s="15" t="s">
        <v>7</v>
      </c>
      <c r="B9" s="15"/>
      <c r="C9" s="15"/>
      <c r="D9" s="15"/>
      <c r="E9" s="15"/>
      <c r="F9" s="15"/>
      <c r="G9" s="15"/>
      <c r="H9" s="15"/>
      <c r="I9" s="15"/>
      <c r="J9" s="15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</row>
    <row r="10" customFormat="false" ht="18.95" hidden="false" customHeight="true" outlineLevel="0" collapsed="false">
      <c r="A10" s="16" t="s">
        <v>8</v>
      </c>
      <c r="B10" s="17"/>
      <c r="C10" s="17"/>
      <c r="D10" s="17"/>
      <c r="E10" s="17"/>
      <c r="F10" s="17"/>
      <c r="G10" s="17"/>
      <c r="H10" s="17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</row>
    <row r="11" customFormat="false" ht="18.95" hidden="false" customHeight="true" outlineLevel="0" collapsed="false">
      <c r="A11" s="16" t="s">
        <v>9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</row>
    <row r="12" customFormat="false" ht="18.95" hidden="false" customHeight="true" outlineLevel="0" collapsed="false">
      <c r="A12" s="17" t="s">
        <v>10</v>
      </c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</row>
    <row r="13" customFormat="false" ht="18.95" hidden="false" customHeight="true" outlineLevel="0" collapsed="false">
      <c r="A13" s="17" t="s">
        <v>11</v>
      </c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</row>
    <row r="14" customFormat="false" ht="18.95" hidden="false" customHeight="true" outlineLevel="0" collapsed="false">
      <c r="A14" s="17" t="s">
        <v>12</v>
      </c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</row>
    <row r="15" customFormat="false" ht="18.95" hidden="false" customHeight="true" outlineLevel="0" collapsed="false">
      <c r="A15" s="17" t="s">
        <v>13</v>
      </c>
      <c r="B15" s="17"/>
      <c r="C15" s="17"/>
      <c r="D15" s="17"/>
      <c r="E15" s="17"/>
      <c r="F15" s="17"/>
      <c r="G15" s="17"/>
      <c r="H15" s="17"/>
      <c r="I15" s="17"/>
      <c r="J15" s="1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</row>
    <row r="16" customFormat="false" ht="18.95" hidden="false" customHeight="true" outlineLevel="0" collapsed="false">
      <c r="A16" s="17" t="s">
        <v>14</v>
      </c>
      <c r="B16" s="17"/>
      <c r="C16" s="17"/>
      <c r="D16" s="17"/>
      <c r="E16" s="17"/>
      <c r="F16" s="17"/>
      <c r="G16" s="17"/>
      <c r="H16" s="17"/>
      <c r="I16" s="17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</row>
    <row r="17" customFormat="false" ht="18.95" hidden="false" customHeight="true" outlineLevel="0" collapsed="false">
      <c r="A17" s="16" t="s">
        <v>15</v>
      </c>
      <c r="B17" s="17"/>
      <c r="C17" s="17"/>
      <c r="D17" s="17"/>
      <c r="E17" s="17"/>
      <c r="F17" s="17"/>
      <c r="G17" s="17"/>
      <c r="H17" s="17"/>
      <c r="I17" s="17"/>
      <c r="J17" s="17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</row>
    <row r="18" customFormat="false" ht="18.95" hidden="false" customHeight="true" outlineLevel="0" collapsed="false">
      <c r="A18" s="17" t="s">
        <v>16</v>
      </c>
      <c r="B18" s="17"/>
      <c r="C18" s="17"/>
      <c r="D18" s="17"/>
      <c r="E18" s="17"/>
      <c r="F18" s="17"/>
      <c r="G18" s="17"/>
      <c r="H18" s="17"/>
      <c r="I18" s="17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</row>
    <row r="19" customFormat="false" ht="18.95" hidden="false" customHeight="true" outlineLevel="0" collapsed="false">
      <c r="A19" s="17" t="s">
        <v>17</v>
      </c>
      <c r="B19" s="17"/>
      <c r="C19" s="17"/>
      <c r="D19" s="17"/>
      <c r="E19" s="17"/>
      <c r="F19" s="17"/>
      <c r="G19" s="17"/>
      <c r="H19" s="17"/>
      <c r="I19" s="17"/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</row>
    <row r="20" customFormat="false" ht="18.95" hidden="false" customHeight="true" outlineLevel="0" collapsed="false">
      <c r="A20" s="17" t="s">
        <v>18</v>
      </c>
      <c r="B20" s="17"/>
      <c r="C20" s="17"/>
      <c r="D20" s="17"/>
      <c r="E20" s="17"/>
      <c r="F20" s="17"/>
      <c r="G20" s="17"/>
      <c r="H20" s="17"/>
      <c r="I20" s="17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</row>
    <row r="21" customFormat="false" ht="18.95" hidden="false" customHeight="true" outlineLevel="0" collapsed="false">
      <c r="A21" s="17" t="s">
        <v>19</v>
      </c>
      <c r="B21" s="17"/>
      <c r="C21" s="17"/>
      <c r="D21" s="17"/>
      <c r="E21" s="17"/>
      <c r="F21" s="17"/>
      <c r="G21" s="17"/>
      <c r="H21" s="17"/>
      <c r="I21" s="17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</row>
    <row r="22" customFormat="false" ht="18.95" hidden="false" customHeight="true" outlineLevel="0" collapsed="false">
      <c r="A22" s="17" t="s">
        <v>20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</row>
    <row r="23" customFormat="false" ht="18.95" hidden="false" customHeight="true" outlineLevel="0" collapsed="false">
      <c r="A23" s="17" t="s">
        <v>21</v>
      </c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</row>
    <row r="24" customFormat="false" ht="18.75" hidden="false" customHeight="true" outlineLevel="0" collapsed="false">
      <c r="A24" s="19" t="s">
        <v>22</v>
      </c>
      <c r="B24" s="20"/>
      <c r="C24" s="19"/>
      <c r="D24" s="19"/>
      <c r="E24" s="19"/>
      <c r="F24" s="19"/>
      <c r="G24" s="19"/>
      <c r="H24" s="19"/>
      <c r="I24" s="19"/>
      <c r="J24" s="19"/>
      <c r="K24" s="21"/>
      <c r="L24" s="21"/>
      <c r="M24" s="2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</row>
    <row r="25" customFormat="false" ht="18.75" hidden="false" customHeight="true" outlineLevel="0" collapsed="false">
      <c r="A25" s="19" t="s">
        <v>23</v>
      </c>
      <c r="B25" s="20"/>
      <c r="C25" s="19"/>
      <c r="D25" s="19"/>
      <c r="E25" s="19"/>
      <c r="F25" s="19"/>
      <c r="G25" s="19"/>
      <c r="H25" s="19"/>
      <c r="I25" s="19"/>
      <c r="J25" s="19"/>
      <c r="K25" s="21"/>
      <c r="L25" s="21"/>
      <c r="M25" s="2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</row>
    <row r="26" customFormat="false" ht="18.75" hidden="false" customHeight="true" outlineLevel="0" collapsed="false">
      <c r="A26" s="19" t="s">
        <v>24</v>
      </c>
      <c r="B26" s="20"/>
      <c r="C26" s="19"/>
      <c r="D26" s="19"/>
      <c r="E26" s="19"/>
      <c r="F26" s="19"/>
      <c r="G26" s="19"/>
      <c r="H26" s="19"/>
      <c r="I26" s="19"/>
      <c r="J26" s="19"/>
      <c r="K26" s="21"/>
      <c r="L26" s="21"/>
      <c r="M26" s="2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</row>
    <row r="27" customFormat="false" ht="18.75" hidden="false" customHeight="true" outlineLevel="0" collapsed="false">
      <c r="A27" s="19" t="s">
        <v>25</v>
      </c>
      <c r="B27" s="23"/>
      <c r="C27" s="24"/>
      <c r="D27" s="24"/>
      <c r="E27" s="24"/>
      <c r="F27" s="24"/>
      <c r="G27" s="24"/>
      <c r="H27" s="24"/>
      <c r="I27" s="24"/>
      <c r="J27" s="24"/>
      <c r="K27" s="25"/>
      <c r="L27" s="25"/>
      <c r="M27" s="26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</row>
    <row r="28" customFormat="false" ht="13.5" hidden="false" customHeight="true" outlineLevel="0" collapsed="false">
      <c r="A28" s="18"/>
      <c r="B28" s="27"/>
      <c r="C28" s="28"/>
      <c r="D28" s="29"/>
      <c r="E28" s="30"/>
      <c r="F28" s="31"/>
      <c r="G28" s="28"/>
      <c r="H28" s="28"/>
      <c r="I28" s="28"/>
      <c r="J28" s="28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</row>
    <row r="29" customFormat="false" ht="24" hidden="false" customHeight="true" outlineLevel="0" collapsed="false">
      <c r="A29" s="33" t="s">
        <v>26</v>
      </c>
      <c r="B29" s="34" t="s">
        <v>27</v>
      </c>
      <c r="C29" s="35" t="s">
        <v>28</v>
      </c>
      <c r="D29" s="35"/>
      <c r="E29" s="36" t="s">
        <v>29</v>
      </c>
      <c r="F29" s="35" t="s">
        <v>30</v>
      </c>
      <c r="G29" s="35" t="s">
        <v>31</v>
      </c>
      <c r="H29" s="35" t="s">
        <v>32</v>
      </c>
      <c r="I29" s="35" t="s">
        <v>33</v>
      </c>
      <c r="J29" s="35" t="s">
        <v>34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</row>
    <row r="30" customFormat="false" ht="78" hidden="false" customHeight="true" outlineLevel="0" collapsed="false">
      <c r="A30" s="33"/>
      <c r="B30" s="34"/>
      <c r="C30" s="35"/>
      <c r="D30" s="35"/>
      <c r="E30" s="36"/>
      <c r="F30" s="35"/>
      <c r="G30" s="35"/>
      <c r="H30" s="35"/>
      <c r="I30" s="35"/>
      <c r="J30" s="35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</row>
    <row r="31" customFormat="false" ht="25.5" hidden="false" customHeight="true" outlineLevel="0" collapsed="false">
      <c r="A31" s="37" t="n">
        <v>1</v>
      </c>
      <c r="B31" s="37"/>
      <c r="C31" s="38"/>
      <c r="D31" s="39"/>
      <c r="E31" s="40"/>
      <c r="F31" s="41"/>
      <c r="G31" s="41"/>
      <c r="H31" s="42" t="str">
        <f aca="false">IF(G31&gt;=90,"Xuất sắc",IF(G31&gt;=80,"Tốt",IF(G31&gt;=65,"Khá",IF(G31&gt;=50,"TB",""))))</f>
        <v/>
      </c>
      <c r="I31" s="43"/>
      <c r="J31" s="44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</row>
    <row r="32" customFormat="false" ht="25.5" hidden="false" customHeight="true" outlineLevel="0" collapsed="false">
      <c r="A32" s="45" t="n">
        <v>2</v>
      </c>
      <c r="B32" s="45"/>
      <c r="C32" s="46"/>
      <c r="D32" s="47"/>
      <c r="E32" s="48"/>
      <c r="F32" s="49"/>
      <c r="G32" s="49"/>
      <c r="H32" s="50" t="str">
        <f aca="false">IF(G32&gt;=90,"Xuất sắc",IF(G32&gt;=80,"Tốt",IF(G32&gt;=65,"Khá",IF(G32&gt;=50,"TB",""))))</f>
        <v/>
      </c>
      <c r="I32" s="49"/>
      <c r="J32" s="51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</row>
    <row r="33" customFormat="false" ht="25.5" hidden="false" customHeight="true" outlineLevel="0" collapsed="false">
      <c r="A33" s="45" t="n">
        <v>3</v>
      </c>
      <c r="B33" s="45"/>
      <c r="C33" s="46"/>
      <c r="D33" s="47"/>
      <c r="E33" s="48"/>
      <c r="F33" s="49"/>
      <c r="G33" s="49"/>
      <c r="H33" s="50" t="str">
        <f aca="false">IF(G33&gt;=90,"Xuất sắc",IF(G33&gt;=80,"Tốt",IF(G33&gt;=65,"Khá",IF(G33&gt;=50,"TB",""))))</f>
        <v/>
      </c>
      <c r="I33" s="49"/>
      <c r="J33" s="5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</row>
    <row r="34" customFormat="false" ht="25.5" hidden="false" customHeight="true" outlineLevel="0" collapsed="false">
      <c r="A34" s="45" t="n">
        <v>4</v>
      </c>
      <c r="B34" s="45"/>
      <c r="C34" s="46"/>
      <c r="D34" s="47"/>
      <c r="E34" s="48"/>
      <c r="F34" s="49"/>
      <c r="G34" s="49"/>
      <c r="H34" s="50" t="str">
        <f aca="false">IF(G34&gt;=90,"Xuất sắc",IF(G34&gt;=80,"Tốt",IF(G34&gt;=65,"Khá",IF(G34&gt;=50,"TB",""))))</f>
        <v/>
      </c>
      <c r="I34" s="49"/>
      <c r="J34" s="51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</row>
    <row r="35" customFormat="false" ht="25.5" hidden="false" customHeight="true" outlineLevel="0" collapsed="false">
      <c r="A35" s="45" t="n">
        <v>5</v>
      </c>
      <c r="B35" s="45"/>
      <c r="C35" s="46"/>
      <c r="D35" s="47"/>
      <c r="E35" s="48"/>
      <c r="F35" s="49"/>
      <c r="G35" s="49"/>
      <c r="H35" s="50" t="str">
        <f aca="false">IF(G35&gt;=90,"Xuất sắc",IF(G35&gt;=80,"Tốt",IF(G35&gt;=65,"Khá",IF(G35&gt;=50,"TB",""))))</f>
        <v/>
      </c>
      <c r="I35" s="49"/>
      <c r="J35" s="51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</row>
    <row r="36" customFormat="false" ht="25.5" hidden="false" customHeight="true" outlineLevel="0" collapsed="false">
      <c r="A36" s="45" t="n">
        <v>6</v>
      </c>
      <c r="B36" s="45"/>
      <c r="C36" s="46"/>
      <c r="D36" s="47"/>
      <c r="E36" s="48"/>
      <c r="F36" s="49"/>
      <c r="G36" s="49"/>
      <c r="H36" s="50" t="str">
        <f aca="false">IF(G36&gt;=90,"Xuất sắc",IF(G36&gt;=80,"Tốt",IF(G36&gt;=65,"Khá",IF(G36&gt;=50,"TB",""))))</f>
        <v/>
      </c>
      <c r="I36" s="49"/>
      <c r="J36" s="51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</row>
    <row r="37" customFormat="false" ht="25.5" hidden="false" customHeight="true" outlineLevel="0" collapsed="false">
      <c r="A37" s="45" t="n">
        <v>7</v>
      </c>
      <c r="B37" s="45"/>
      <c r="C37" s="46"/>
      <c r="D37" s="47"/>
      <c r="E37" s="48"/>
      <c r="F37" s="49"/>
      <c r="G37" s="49"/>
      <c r="H37" s="50" t="str">
        <f aca="false">IF(G37&gt;=90,"Xuất sắc",IF(G37&gt;=80,"Tốt",IF(G37&gt;=65,"Khá",IF(G37&gt;=50,"TB",""))))</f>
        <v/>
      </c>
      <c r="I37" s="49"/>
      <c r="J37" s="51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</row>
    <row r="38" customFormat="false" ht="25.5" hidden="false" customHeight="true" outlineLevel="0" collapsed="false">
      <c r="A38" s="45" t="n">
        <v>8</v>
      </c>
      <c r="B38" s="45"/>
      <c r="C38" s="46"/>
      <c r="D38" s="47"/>
      <c r="E38" s="48"/>
      <c r="F38" s="49"/>
      <c r="G38" s="49"/>
      <c r="H38" s="50" t="str">
        <f aca="false">IF(G38&gt;=90,"Xuất sắc",IF(G38&gt;=80,"Tốt",IF(G38&gt;=65,"Khá",IF(G38&gt;=50,"TB",""))))</f>
        <v/>
      </c>
      <c r="I38" s="49"/>
      <c r="J38" s="5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</row>
    <row r="39" customFormat="false" ht="25.5" hidden="false" customHeight="true" outlineLevel="0" collapsed="false">
      <c r="A39" s="45" t="n">
        <v>9</v>
      </c>
      <c r="B39" s="45"/>
      <c r="C39" s="46"/>
      <c r="D39" s="47"/>
      <c r="E39" s="48"/>
      <c r="F39" s="49"/>
      <c r="G39" s="49"/>
      <c r="H39" s="50" t="str">
        <f aca="false">IF(G39&gt;=90,"Xuất sắc",IF(G39&gt;=80,"Tốt",IF(G39&gt;=65,"Khá",IF(G39&gt;=50,"TB",""))))</f>
        <v/>
      </c>
      <c r="I39" s="49"/>
      <c r="J39" s="51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</row>
    <row r="40" customFormat="false" ht="25.5" hidden="false" customHeight="true" outlineLevel="0" collapsed="false">
      <c r="A40" s="45" t="n">
        <v>10</v>
      </c>
      <c r="B40" s="45"/>
      <c r="C40" s="46"/>
      <c r="D40" s="47"/>
      <c r="E40" s="48"/>
      <c r="F40" s="49"/>
      <c r="G40" s="49"/>
      <c r="H40" s="50" t="str">
        <f aca="false">IF(G40&gt;=90,"Xuất sắc",IF(G40&gt;=80,"Tốt",IF(G40&gt;=65,"Khá",IF(G40&gt;=50,"TB",""))))</f>
        <v/>
      </c>
      <c r="I40" s="49"/>
      <c r="J40" s="51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</row>
    <row r="41" customFormat="false" ht="25.5" hidden="false" customHeight="true" outlineLevel="0" collapsed="false">
      <c r="A41" s="45" t="n">
        <v>11</v>
      </c>
      <c r="B41" s="45"/>
      <c r="C41" s="46"/>
      <c r="D41" s="47"/>
      <c r="E41" s="48"/>
      <c r="F41" s="49"/>
      <c r="G41" s="49"/>
      <c r="H41" s="50" t="str">
        <f aca="false">IF(G41&gt;=90,"Xuất sắc",IF(G41&gt;=80,"Tốt",IF(G41&gt;=65,"Khá",IF(G41&gt;=50,"TB",""))))</f>
        <v/>
      </c>
      <c r="I41" s="49"/>
      <c r="J41" s="5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</row>
    <row r="42" customFormat="false" ht="25.5" hidden="false" customHeight="true" outlineLevel="0" collapsed="false">
      <c r="A42" s="45" t="n">
        <v>12</v>
      </c>
      <c r="B42" s="45"/>
      <c r="C42" s="46"/>
      <c r="D42" s="47"/>
      <c r="E42" s="48"/>
      <c r="F42" s="49"/>
      <c r="G42" s="49"/>
      <c r="H42" s="50" t="str">
        <f aca="false">IF(G42&gt;=90,"Xuất sắc",IF(G42&gt;=80,"Tốt",IF(G42&gt;=65,"Khá",IF(G42&gt;=50,"TB",""))))</f>
        <v/>
      </c>
      <c r="I42" s="49"/>
      <c r="J42" s="51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</row>
    <row r="43" customFormat="false" ht="25.5" hidden="false" customHeight="true" outlineLevel="0" collapsed="false">
      <c r="A43" s="45" t="n">
        <v>13</v>
      </c>
      <c r="B43" s="45"/>
      <c r="C43" s="46"/>
      <c r="D43" s="47"/>
      <c r="E43" s="48"/>
      <c r="F43" s="49"/>
      <c r="G43" s="49"/>
      <c r="H43" s="50" t="str">
        <f aca="false">IF(G43&gt;=90,"Xuất sắc",IF(G43&gt;=80,"Tốt",IF(G43&gt;=65,"Khá",IF(G43&gt;=50,"TB",""))))</f>
        <v/>
      </c>
      <c r="I43" s="49"/>
      <c r="J43" s="51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</row>
    <row r="44" customFormat="false" ht="25.5" hidden="false" customHeight="true" outlineLevel="0" collapsed="false">
      <c r="A44" s="45" t="n">
        <v>14</v>
      </c>
      <c r="B44" s="45"/>
      <c r="C44" s="46"/>
      <c r="D44" s="47"/>
      <c r="E44" s="48"/>
      <c r="F44" s="49"/>
      <c r="G44" s="49"/>
      <c r="H44" s="50" t="str">
        <f aca="false">IF(G44&gt;=90,"Xuất sắc",IF(G44&gt;=80,"Tốt",IF(G44&gt;=65,"Khá",IF(G44&gt;=50,"TB",""))))</f>
        <v/>
      </c>
      <c r="I44" s="49"/>
      <c r="J44" s="51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</row>
    <row r="45" customFormat="false" ht="25.5" hidden="false" customHeight="true" outlineLevel="0" collapsed="false">
      <c r="A45" s="45" t="n">
        <v>15</v>
      </c>
      <c r="B45" s="45"/>
      <c r="C45" s="46"/>
      <c r="D45" s="47"/>
      <c r="E45" s="48"/>
      <c r="F45" s="49"/>
      <c r="G45" s="49"/>
      <c r="H45" s="50" t="str">
        <f aca="false">IF(G45&gt;=90,"Xuất sắc",IF(G45&gt;=80,"Tốt",IF(G45&gt;=65,"Khá",IF(G45&gt;=50,"TB",""))))</f>
        <v/>
      </c>
      <c r="I45" s="49"/>
      <c r="J45" s="51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</row>
    <row r="46" customFormat="false" ht="25.5" hidden="false" customHeight="true" outlineLevel="0" collapsed="false">
      <c r="A46" s="45" t="n">
        <v>16</v>
      </c>
      <c r="B46" s="45"/>
      <c r="C46" s="46"/>
      <c r="D46" s="47"/>
      <c r="E46" s="48"/>
      <c r="F46" s="49"/>
      <c r="G46" s="49"/>
      <c r="H46" s="50" t="str">
        <f aca="false">IF(G46&gt;=90,"Xuất sắc",IF(G46&gt;=80,"Tốt",IF(G46&gt;=65,"Khá",IF(G46&gt;=50,"TB",""))))</f>
        <v/>
      </c>
      <c r="I46" s="49"/>
      <c r="J46" s="51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</row>
    <row r="47" customFormat="false" ht="25.5" hidden="false" customHeight="true" outlineLevel="0" collapsed="false">
      <c r="A47" s="45" t="n">
        <v>17</v>
      </c>
      <c r="B47" s="45"/>
      <c r="C47" s="46"/>
      <c r="D47" s="47"/>
      <c r="E47" s="48"/>
      <c r="F47" s="49"/>
      <c r="G47" s="49"/>
      <c r="H47" s="50" t="str">
        <f aca="false">IF(G47&gt;=90,"Xuất sắc",IF(G47&gt;=80,"Tốt",IF(G47&gt;=65,"Khá",IF(G47&gt;=50,"TB",""))))</f>
        <v/>
      </c>
      <c r="I47" s="49"/>
      <c r="J47" s="51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</row>
    <row r="48" customFormat="false" ht="25.5" hidden="false" customHeight="true" outlineLevel="0" collapsed="false">
      <c r="A48" s="45" t="n">
        <v>18</v>
      </c>
      <c r="B48" s="45"/>
      <c r="C48" s="46"/>
      <c r="D48" s="47"/>
      <c r="E48" s="48"/>
      <c r="F48" s="49"/>
      <c r="G48" s="49"/>
      <c r="H48" s="50" t="str">
        <f aca="false">IF(G48&gt;=90,"Xuất sắc",IF(G48&gt;=80,"Tốt",IF(G48&gt;=65,"Khá",IF(G48&gt;=50,"TB",""))))</f>
        <v/>
      </c>
      <c r="I48" s="49"/>
      <c r="J48" s="51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</row>
    <row r="49" customFormat="false" ht="25.5" hidden="false" customHeight="true" outlineLevel="0" collapsed="false">
      <c r="A49" s="45" t="n">
        <v>19</v>
      </c>
      <c r="B49" s="45"/>
      <c r="C49" s="52"/>
      <c r="D49" s="53"/>
      <c r="E49" s="54"/>
      <c r="F49" s="49"/>
      <c r="G49" s="49"/>
      <c r="H49" s="50" t="str">
        <f aca="false">IF(G49&gt;=90,"Xuất sắc",IF(G49&gt;=80,"Tốt",IF(G49&gt;=65,"Khá",IF(G49&gt;=50,"TB",""))))</f>
        <v/>
      </c>
      <c r="I49" s="49"/>
      <c r="J49" s="51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</row>
    <row r="50" customFormat="false" ht="25.5" hidden="false" customHeight="true" outlineLevel="0" collapsed="false">
      <c r="A50" s="45" t="n">
        <v>20</v>
      </c>
      <c r="B50" s="45"/>
      <c r="C50" s="46"/>
      <c r="D50" s="47"/>
      <c r="E50" s="48"/>
      <c r="F50" s="49"/>
      <c r="G50" s="49"/>
      <c r="H50" s="50" t="str">
        <f aca="false">IF(G50&gt;=90,"Xuất sắc",IF(G50&gt;=80,"Tốt",IF(G50&gt;=65,"Khá",IF(G50&gt;=50,"TB",""))))</f>
        <v/>
      </c>
      <c r="I50" s="49"/>
      <c r="J50" s="51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</row>
    <row r="51" customFormat="false" ht="25.5" hidden="false" customHeight="true" outlineLevel="0" collapsed="false">
      <c r="A51" s="45" t="n">
        <v>21</v>
      </c>
      <c r="B51" s="45"/>
      <c r="C51" s="46"/>
      <c r="D51" s="47"/>
      <c r="E51" s="48"/>
      <c r="F51" s="49"/>
      <c r="G51" s="49"/>
      <c r="H51" s="50" t="str">
        <f aca="false">IF(G51&gt;=90,"Xuất sắc",IF(G51&gt;=80,"Tốt",IF(G51&gt;=65,"Khá",IF(G51&gt;=50,"TB",""))))</f>
        <v/>
      </c>
      <c r="I51" s="49"/>
      <c r="J51" s="51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</row>
    <row r="52" customFormat="false" ht="25.5" hidden="false" customHeight="true" outlineLevel="0" collapsed="false">
      <c r="A52" s="45" t="n">
        <v>22</v>
      </c>
      <c r="B52" s="45"/>
      <c r="C52" s="46"/>
      <c r="D52" s="47"/>
      <c r="E52" s="48"/>
      <c r="F52" s="49"/>
      <c r="G52" s="49"/>
      <c r="H52" s="50" t="str">
        <f aca="false">IF(G52&gt;=90,"Xuất sắc",IF(G52&gt;=80,"Tốt",IF(G52&gt;=65,"Khá",IF(G52&gt;=50,"TB",""))))</f>
        <v/>
      </c>
      <c r="I52" s="49"/>
      <c r="J52" s="51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</row>
    <row r="53" customFormat="false" ht="25.5" hidden="false" customHeight="true" outlineLevel="0" collapsed="false">
      <c r="A53" s="45" t="n">
        <v>23</v>
      </c>
      <c r="B53" s="45"/>
      <c r="C53" s="46"/>
      <c r="D53" s="47"/>
      <c r="E53" s="48"/>
      <c r="F53" s="49"/>
      <c r="G53" s="49"/>
      <c r="H53" s="50" t="str">
        <f aca="false">IF(G53&gt;=90,"Xuất sắc",IF(G53&gt;=80,"Tốt",IF(G53&gt;=65,"Khá",IF(G53&gt;=50,"TB",""))))</f>
        <v/>
      </c>
      <c r="I53" s="49"/>
      <c r="J53" s="51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</row>
    <row r="54" customFormat="false" ht="25.5" hidden="false" customHeight="true" outlineLevel="0" collapsed="false">
      <c r="A54" s="45" t="n">
        <v>24</v>
      </c>
      <c r="B54" s="45"/>
      <c r="C54" s="46"/>
      <c r="D54" s="47"/>
      <c r="E54" s="48"/>
      <c r="F54" s="49"/>
      <c r="G54" s="49"/>
      <c r="H54" s="50" t="str">
        <f aca="false">IF(G54&gt;=90,"Xuất sắc",IF(G54&gt;=80,"Tốt",IF(G54&gt;=65,"Khá",IF(G54&gt;=50,"TB",""))))</f>
        <v/>
      </c>
      <c r="I54" s="49"/>
      <c r="J54" s="51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</row>
    <row r="55" customFormat="false" ht="25.5" hidden="false" customHeight="true" outlineLevel="0" collapsed="false">
      <c r="A55" s="45" t="n">
        <v>25</v>
      </c>
      <c r="B55" s="45"/>
      <c r="C55" s="46"/>
      <c r="D55" s="47"/>
      <c r="E55" s="48"/>
      <c r="F55" s="49"/>
      <c r="G55" s="49"/>
      <c r="H55" s="50" t="str">
        <f aca="false">IF(G55&gt;=90,"Xuất sắc",IF(G55&gt;=80,"Tốt",IF(G55&gt;=65,"Khá",IF(G55&gt;=50,"TB",""))))</f>
        <v/>
      </c>
      <c r="I55" s="49"/>
      <c r="J55" s="51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</row>
    <row r="56" customFormat="false" ht="25.5" hidden="false" customHeight="true" outlineLevel="0" collapsed="false">
      <c r="A56" s="45" t="n">
        <v>26</v>
      </c>
      <c r="B56" s="45"/>
      <c r="C56" s="46"/>
      <c r="D56" s="47"/>
      <c r="E56" s="48"/>
      <c r="F56" s="49"/>
      <c r="G56" s="49"/>
      <c r="H56" s="50" t="str">
        <f aca="false">IF(G56&gt;=90,"Xuất sắc",IF(G56&gt;=80,"Tốt",IF(G56&gt;=65,"Khá",IF(G56&gt;=50,"TB",""))))</f>
        <v/>
      </c>
      <c r="I56" s="49"/>
      <c r="J56" s="51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</row>
    <row r="57" customFormat="false" ht="25.5" hidden="false" customHeight="true" outlineLevel="0" collapsed="false">
      <c r="A57" s="45" t="n">
        <v>27</v>
      </c>
      <c r="B57" s="45"/>
      <c r="C57" s="46"/>
      <c r="D57" s="47"/>
      <c r="E57" s="48"/>
      <c r="F57" s="49"/>
      <c r="G57" s="49"/>
      <c r="H57" s="50" t="str">
        <f aca="false">IF(G57&gt;=90,"Xuất sắc",IF(G57&gt;=80,"Tốt",IF(G57&gt;=65,"Khá",IF(G57&gt;=50,"TB",""))))</f>
        <v/>
      </c>
      <c r="I57" s="49"/>
      <c r="J57" s="51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</row>
    <row r="58" customFormat="false" ht="25.5" hidden="false" customHeight="true" outlineLevel="0" collapsed="false">
      <c r="A58" s="45" t="n">
        <v>28</v>
      </c>
      <c r="B58" s="45"/>
      <c r="C58" s="46"/>
      <c r="D58" s="47"/>
      <c r="E58" s="48"/>
      <c r="F58" s="49"/>
      <c r="G58" s="49"/>
      <c r="H58" s="50" t="str">
        <f aca="false">IF(G58&gt;=90,"Xuất sắc",IF(G58&gt;=80,"Tốt",IF(G58&gt;=65,"Khá",IF(G58&gt;=50,"TB",""))))</f>
        <v/>
      </c>
      <c r="I58" s="49"/>
      <c r="J58" s="51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</row>
    <row r="59" customFormat="false" ht="25.5" hidden="false" customHeight="true" outlineLevel="0" collapsed="false">
      <c r="A59" s="45" t="n">
        <v>29</v>
      </c>
      <c r="B59" s="45"/>
      <c r="C59" s="46"/>
      <c r="D59" s="47"/>
      <c r="E59" s="48"/>
      <c r="F59" s="49"/>
      <c r="G59" s="49"/>
      <c r="H59" s="50" t="str">
        <f aca="false">IF(G59&gt;=90,"Xuất sắc",IF(G59&gt;=80,"Tốt",IF(G59&gt;=65,"Khá",IF(G59&gt;=50,"TB",""))))</f>
        <v/>
      </c>
      <c r="I59" s="49"/>
      <c r="J59" s="51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</row>
    <row r="60" customFormat="false" ht="25.5" hidden="false" customHeight="true" outlineLevel="0" collapsed="false">
      <c r="A60" s="45" t="n">
        <v>30</v>
      </c>
      <c r="B60" s="45"/>
      <c r="C60" s="46"/>
      <c r="D60" s="47"/>
      <c r="E60" s="48"/>
      <c r="F60" s="49"/>
      <c r="G60" s="49"/>
      <c r="H60" s="50" t="str">
        <f aca="false">IF(G60&gt;=90,"Xuất sắc",IF(G60&gt;=80,"Tốt",IF(G60&gt;=65,"Khá",IF(G60&gt;=50,"TB",""))))</f>
        <v/>
      </c>
      <c r="I60" s="49"/>
      <c r="J60" s="51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</row>
    <row r="61" customFormat="false" ht="25.5" hidden="false" customHeight="true" outlineLevel="0" collapsed="false">
      <c r="A61" s="45" t="n">
        <v>31</v>
      </c>
      <c r="B61" s="45"/>
      <c r="C61" s="46"/>
      <c r="D61" s="47"/>
      <c r="E61" s="48"/>
      <c r="F61" s="49"/>
      <c r="G61" s="49"/>
      <c r="H61" s="50" t="str">
        <f aca="false">IF(G61&gt;=90,"Xuất sắc",IF(G61&gt;=80,"Tốt",IF(G61&gt;=65,"Khá",IF(G61&gt;=50,"TB",""))))</f>
        <v/>
      </c>
      <c r="I61" s="49"/>
      <c r="J61" s="51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</row>
    <row r="62" customFormat="false" ht="25.5" hidden="false" customHeight="true" outlineLevel="0" collapsed="false">
      <c r="A62" s="45" t="n">
        <v>32</v>
      </c>
      <c r="B62" s="45"/>
      <c r="C62" s="46"/>
      <c r="D62" s="47"/>
      <c r="E62" s="48"/>
      <c r="F62" s="49"/>
      <c r="G62" s="49"/>
      <c r="H62" s="50" t="str">
        <f aca="false">IF(G62&gt;=90,"Xuất sắc",IF(G62&gt;=80,"Tốt",IF(G62&gt;=65,"Khá",IF(G62&gt;=50,"TB",""))))</f>
        <v/>
      </c>
      <c r="I62" s="49"/>
      <c r="J62" s="51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</row>
    <row r="63" customFormat="false" ht="25.5" hidden="false" customHeight="true" outlineLevel="0" collapsed="false">
      <c r="A63" s="45" t="n">
        <v>33</v>
      </c>
      <c r="B63" s="45"/>
      <c r="C63" s="46"/>
      <c r="D63" s="47"/>
      <c r="E63" s="48"/>
      <c r="F63" s="49"/>
      <c r="G63" s="49"/>
      <c r="H63" s="50" t="str">
        <f aca="false">IF(G63&gt;=90,"Xuất sắc",IF(G63&gt;=80,"Tốt",IF(G63&gt;=65,"Khá",IF(G63&gt;=50,"TB",""))))</f>
        <v/>
      </c>
      <c r="I63" s="49"/>
      <c r="J63" s="51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</row>
    <row r="64" customFormat="false" ht="25.5" hidden="false" customHeight="true" outlineLevel="0" collapsed="false">
      <c r="A64" s="45" t="n">
        <v>34</v>
      </c>
      <c r="B64" s="45"/>
      <c r="C64" s="46"/>
      <c r="D64" s="47"/>
      <c r="E64" s="48"/>
      <c r="F64" s="49"/>
      <c r="G64" s="49"/>
      <c r="H64" s="50" t="str">
        <f aca="false">IF(G64&gt;=90,"Xuất sắc",IF(G64&gt;=80,"Tốt",IF(G64&gt;=65,"Khá",IF(G64&gt;=50,"TB",""))))</f>
        <v/>
      </c>
      <c r="I64" s="49"/>
      <c r="J64" s="51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</row>
    <row r="65" customFormat="false" ht="25.5" hidden="false" customHeight="true" outlineLevel="0" collapsed="false">
      <c r="A65" s="45" t="n">
        <v>35</v>
      </c>
      <c r="B65" s="45"/>
      <c r="C65" s="55"/>
      <c r="D65" s="56"/>
      <c r="E65" s="54"/>
      <c r="F65" s="49"/>
      <c r="G65" s="49"/>
      <c r="H65" s="50" t="str">
        <f aca="false">IF(G65&gt;=90,"Xuất sắc",IF(G65&gt;=80,"Tốt",IF(G65&gt;=65,"Khá",IF(G65&gt;=50,"TB",""))))</f>
        <v/>
      </c>
      <c r="I65" s="49"/>
      <c r="J65" s="51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</row>
    <row r="66" customFormat="false" ht="25.5" hidden="false" customHeight="true" outlineLevel="0" collapsed="false">
      <c r="A66" s="45" t="n">
        <v>36</v>
      </c>
      <c r="B66" s="45"/>
      <c r="C66" s="55"/>
      <c r="D66" s="47"/>
      <c r="E66" s="54"/>
      <c r="F66" s="49"/>
      <c r="G66" s="49"/>
      <c r="H66" s="50" t="str">
        <f aca="false">IF(G66&gt;=90,"Xuất sắc",IF(G66&gt;=80,"Tốt",IF(G66&gt;=65,"Khá",IF(G66&gt;=50,"TB",""))))</f>
        <v/>
      </c>
      <c r="I66" s="49"/>
      <c r="J66" s="51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</row>
    <row r="67" customFormat="false" ht="25.5" hidden="false" customHeight="true" outlineLevel="0" collapsed="false">
      <c r="A67" s="45" t="n">
        <v>37</v>
      </c>
      <c r="B67" s="45"/>
      <c r="C67" s="46"/>
      <c r="D67" s="47"/>
      <c r="E67" s="48"/>
      <c r="F67" s="49"/>
      <c r="G67" s="49"/>
      <c r="H67" s="50" t="str">
        <f aca="false">IF(G67&gt;=90,"Xuất sắc",IF(G67&gt;=80,"Tốt",IF(G67&gt;=65,"Khá",IF(G67&gt;=50,"TB",""))))</f>
        <v/>
      </c>
      <c r="I67" s="49"/>
      <c r="J67" s="51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</row>
    <row r="68" customFormat="false" ht="25.5" hidden="false" customHeight="true" outlineLevel="0" collapsed="false">
      <c r="A68" s="45" t="n">
        <v>38</v>
      </c>
      <c r="B68" s="45"/>
      <c r="C68" s="46"/>
      <c r="D68" s="47"/>
      <c r="E68" s="48"/>
      <c r="F68" s="49"/>
      <c r="G68" s="49"/>
      <c r="H68" s="50" t="str">
        <f aca="false">IF(G68&gt;=90,"Xuất sắc",IF(G68&gt;=80,"Tốt",IF(G68&gt;=65,"Khá",IF(G68&gt;=50,"TB",""))))</f>
        <v/>
      </c>
      <c r="I68" s="49"/>
      <c r="J68" s="51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</row>
    <row r="69" customFormat="false" ht="25.5" hidden="false" customHeight="true" outlineLevel="0" collapsed="false">
      <c r="A69" s="45" t="n">
        <v>39</v>
      </c>
      <c r="B69" s="45"/>
      <c r="C69" s="46"/>
      <c r="D69" s="47"/>
      <c r="E69" s="48"/>
      <c r="F69" s="49"/>
      <c r="G69" s="49"/>
      <c r="H69" s="50" t="str">
        <f aca="false">IF(G69&gt;=90,"Xuất sắc",IF(G69&gt;=80,"Tốt",IF(G69&gt;=65,"Khá",IF(G69&gt;=50,"TB",""))))</f>
        <v/>
      </c>
      <c r="I69" s="49"/>
      <c r="J69" s="51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</row>
    <row r="70" customFormat="false" ht="25.5" hidden="false" customHeight="true" outlineLevel="0" collapsed="false">
      <c r="A70" s="45" t="n">
        <v>40</v>
      </c>
      <c r="B70" s="45"/>
      <c r="C70" s="46"/>
      <c r="D70" s="47"/>
      <c r="E70" s="48"/>
      <c r="F70" s="49"/>
      <c r="G70" s="49"/>
      <c r="H70" s="50" t="str">
        <f aca="false">IF(G70&gt;=90,"Xuất sắc",IF(G70&gt;=80,"Tốt",IF(G70&gt;=65,"Khá",IF(G70&gt;=50,"TB",""))))</f>
        <v/>
      </c>
      <c r="I70" s="49"/>
      <c r="J70" s="51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</row>
    <row r="71" customFormat="false" ht="25.5" hidden="false" customHeight="true" outlineLevel="0" collapsed="false">
      <c r="A71" s="45" t="n">
        <v>41</v>
      </c>
      <c r="B71" s="45"/>
      <c r="C71" s="46"/>
      <c r="D71" s="47"/>
      <c r="E71" s="48"/>
      <c r="F71" s="49"/>
      <c r="G71" s="49"/>
      <c r="H71" s="50" t="str">
        <f aca="false">IF(G71&gt;=90,"Xuất sắc",IF(G71&gt;=80,"Tốt",IF(G71&gt;=65,"Khá",IF(G71&gt;=50,"TB",""))))</f>
        <v/>
      </c>
      <c r="I71" s="49"/>
      <c r="J71" s="51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</row>
    <row r="72" customFormat="false" ht="25.5" hidden="false" customHeight="true" outlineLevel="0" collapsed="false">
      <c r="A72" s="45" t="n">
        <v>42</v>
      </c>
      <c r="B72" s="45"/>
      <c r="C72" s="55"/>
      <c r="D72" s="56"/>
      <c r="E72" s="54"/>
      <c r="F72" s="49"/>
      <c r="G72" s="49"/>
      <c r="H72" s="50" t="str">
        <f aca="false">IF(G72&gt;=90,"Xuất sắc",IF(G72&gt;=80,"Tốt",IF(G72&gt;=65,"Khá",IF(G72&gt;=50,"TB",""))))</f>
        <v/>
      </c>
      <c r="I72" s="49"/>
      <c r="J72" s="51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</row>
    <row r="73" customFormat="false" ht="25.5" hidden="false" customHeight="true" outlineLevel="0" collapsed="false">
      <c r="A73" s="45" t="n">
        <v>43</v>
      </c>
      <c r="B73" s="45"/>
      <c r="C73" s="46"/>
      <c r="D73" s="47"/>
      <c r="E73" s="48"/>
      <c r="F73" s="49"/>
      <c r="G73" s="49"/>
      <c r="H73" s="50" t="str">
        <f aca="false">IF(G73&gt;=90,"Xuất sắc",IF(G73&gt;=80,"Tốt",IF(G73&gt;=65,"Khá",IF(G73&gt;=50,"TB",""))))</f>
        <v/>
      </c>
      <c r="I73" s="49"/>
      <c r="J73" s="51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</row>
    <row r="74" customFormat="false" ht="25.5" hidden="false" customHeight="true" outlineLevel="0" collapsed="false">
      <c r="A74" s="45" t="n">
        <v>44</v>
      </c>
      <c r="B74" s="45"/>
      <c r="C74" s="46"/>
      <c r="D74" s="47"/>
      <c r="E74" s="48"/>
      <c r="F74" s="49"/>
      <c r="G74" s="49"/>
      <c r="H74" s="50" t="str">
        <f aca="false">IF(G74&gt;=90,"Xuất sắc",IF(G74&gt;=80,"Tốt",IF(G74&gt;=65,"Khá",IF(G74&gt;=50,"TB",""))))</f>
        <v/>
      </c>
      <c r="I74" s="49"/>
      <c r="J74" s="5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</row>
    <row r="75" customFormat="false" ht="25.5" hidden="false" customHeight="true" outlineLevel="0" collapsed="false">
      <c r="A75" s="45" t="n">
        <v>45</v>
      </c>
      <c r="B75" s="45"/>
      <c r="C75" s="46"/>
      <c r="D75" s="47"/>
      <c r="E75" s="48"/>
      <c r="F75" s="49"/>
      <c r="G75" s="49"/>
      <c r="H75" s="50" t="str">
        <f aca="false">IF(G75&gt;=90,"Xuất sắc",IF(G75&gt;=80,"Tốt",IF(G75&gt;=65,"Khá",IF(G75&gt;=50,"TB",""))))</f>
        <v/>
      </c>
      <c r="I75" s="49"/>
      <c r="J75" s="51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</row>
    <row r="76" customFormat="false" ht="25.5" hidden="false" customHeight="true" outlineLevel="0" collapsed="false">
      <c r="A76" s="45" t="n">
        <v>46</v>
      </c>
      <c r="B76" s="45"/>
      <c r="C76" s="46"/>
      <c r="D76" s="47"/>
      <c r="E76" s="48"/>
      <c r="F76" s="49"/>
      <c r="G76" s="49"/>
      <c r="H76" s="50" t="str">
        <f aca="false">IF(G76&gt;=90,"Xuất sắc",IF(G76&gt;=80,"Tốt",IF(G76&gt;=65,"Khá",IF(G76&gt;=50,"TB",""))))</f>
        <v/>
      </c>
      <c r="I76" s="49"/>
      <c r="J76" s="51"/>
    </row>
    <row r="77" customFormat="false" ht="25.5" hidden="false" customHeight="true" outlineLevel="0" collapsed="false">
      <c r="A77" s="45" t="n">
        <v>47</v>
      </c>
      <c r="B77" s="45"/>
      <c r="C77" s="55"/>
      <c r="D77" s="56"/>
      <c r="E77" s="54"/>
      <c r="F77" s="49"/>
      <c r="G77" s="49"/>
      <c r="H77" s="50" t="str">
        <f aca="false">IF(G77&gt;=90,"Xuất sắc",IF(G77&gt;=80,"Tốt",IF(G77&gt;=65,"Khá",IF(G77&gt;=50,"TB",""))))</f>
        <v/>
      </c>
      <c r="I77" s="49"/>
      <c r="J77" s="51"/>
    </row>
    <row r="78" customFormat="false" ht="25.5" hidden="false" customHeight="true" outlineLevel="0" collapsed="false">
      <c r="A78" s="57" t="n">
        <v>48</v>
      </c>
      <c r="B78" s="57"/>
      <c r="C78" s="58"/>
      <c r="D78" s="59"/>
      <c r="E78" s="60"/>
      <c r="F78" s="61"/>
      <c r="G78" s="61"/>
      <c r="H78" s="62" t="str">
        <f aca="false">IF(G78&gt;=90,"Xuất sắc",IF(G78&gt;=80,"Tốt",IF(G78&gt;=65,"Khá",IF(G78&gt;=50,"TB",""))))</f>
        <v/>
      </c>
      <c r="I78" s="61"/>
      <c r="J78" s="63"/>
    </row>
    <row r="79" customFormat="false" ht="13.5" hidden="false" customHeight="true" outlineLevel="0" collapsed="false">
      <c r="D79" s="64"/>
      <c r="E79" s="65"/>
    </row>
    <row r="80" customFormat="false" ht="18.95" hidden="false" customHeight="true" outlineLevel="0" collapsed="false">
      <c r="A80" s="66"/>
      <c r="B80" s="67" t="s">
        <v>35</v>
      </c>
      <c r="C80" s="68" t="n">
        <f aca="false">COUNTA(B31:B78)</f>
        <v>0</v>
      </c>
      <c r="D80" s="69" t="s">
        <v>36</v>
      </c>
      <c r="E80" s="70"/>
      <c r="F80" s="71"/>
      <c r="G80" s="66"/>
      <c r="H80" s="66"/>
      <c r="I80" s="66"/>
      <c r="J80" s="66"/>
    </row>
    <row r="81" customFormat="false" ht="18.95" hidden="false" customHeight="true" outlineLevel="0" collapsed="false">
      <c r="A81" s="66"/>
      <c r="B81" s="72" t="s">
        <v>37</v>
      </c>
      <c r="C81" s="73" t="s">
        <v>38</v>
      </c>
      <c r="D81" s="74" t="n">
        <f aca="false">COUNTIF($G$31:$G$78,"Xuất sắc")</f>
        <v>0</v>
      </c>
      <c r="E81" s="18" t="s">
        <v>39</v>
      </c>
      <c r="F81" s="71"/>
      <c r="G81" s="66"/>
      <c r="H81" s="66"/>
      <c r="I81" s="66"/>
      <c r="J81" s="66"/>
    </row>
    <row r="82" customFormat="false" ht="18.95" hidden="false" customHeight="true" outlineLevel="0" collapsed="false">
      <c r="A82" s="66"/>
      <c r="B82" s="18"/>
      <c r="C82" s="73" t="s">
        <v>40</v>
      </c>
      <c r="D82" s="75" t="n">
        <f aca="false">COUNTIF($G$31:$G$78,"Tốt")</f>
        <v>0</v>
      </c>
      <c r="E82" s="18" t="s">
        <v>39</v>
      </c>
      <c r="F82" s="71"/>
      <c r="G82" s="66"/>
      <c r="H82" s="66"/>
      <c r="I82" s="66"/>
      <c r="J82" s="66"/>
    </row>
    <row r="83" customFormat="false" ht="18.95" hidden="false" customHeight="true" outlineLevel="0" collapsed="false">
      <c r="A83" s="66"/>
      <c r="B83" s="18"/>
      <c r="C83" s="73" t="s">
        <v>41</v>
      </c>
      <c r="D83" s="75" t="n">
        <f aca="false">COUNTIF($G$31:$G$78,"Khá")</f>
        <v>0</v>
      </c>
      <c r="E83" s="18" t="s">
        <v>39</v>
      </c>
      <c r="F83" s="71"/>
      <c r="G83" s="66"/>
      <c r="H83" s="66"/>
      <c r="I83" s="66"/>
      <c r="J83" s="66"/>
    </row>
    <row r="84" customFormat="false" ht="18.95" hidden="false" customHeight="true" outlineLevel="0" collapsed="false">
      <c r="A84" s="66"/>
      <c r="B84" s="18"/>
      <c r="C84" s="73" t="s">
        <v>42</v>
      </c>
      <c r="D84" s="75" t="n">
        <f aca="false">COUNTIF($G$31:$G$78,"TB")</f>
        <v>0</v>
      </c>
      <c r="E84" s="18" t="s">
        <v>39</v>
      </c>
      <c r="F84" s="71"/>
      <c r="G84" s="66"/>
      <c r="H84" s="66"/>
      <c r="I84" s="66"/>
      <c r="J84" s="66"/>
    </row>
    <row r="85" customFormat="false" ht="18.95" hidden="false" customHeight="true" outlineLevel="0" collapsed="false">
      <c r="A85" s="66"/>
      <c r="B85" s="18"/>
      <c r="C85" s="73" t="s">
        <v>43</v>
      </c>
      <c r="D85" s="75" t="n">
        <f aca="false">COUNTIF($G$31:$G$78,"TB")</f>
        <v>0</v>
      </c>
      <c r="E85" s="18" t="s">
        <v>39</v>
      </c>
      <c r="F85" s="71"/>
      <c r="G85" s="66"/>
      <c r="H85" s="66"/>
      <c r="I85" s="66"/>
      <c r="J85" s="66"/>
    </row>
    <row r="86" customFormat="false" ht="18.95" hidden="false" customHeight="true" outlineLevel="0" collapsed="false">
      <c r="A86" s="66" t="s">
        <v>44</v>
      </c>
      <c r="B86" s="18"/>
      <c r="C86" s="73"/>
      <c r="D86" s="75"/>
      <c r="E86" s="18"/>
      <c r="F86" s="71"/>
      <c r="G86" s="66"/>
      <c r="H86" s="66"/>
      <c r="I86" s="66"/>
      <c r="J86" s="66"/>
    </row>
    <row r="87" customFormat="false" ht="12.75" hidden="false" customHeight="true" outlineLevel="0" collapsed="false">
      <c r="A87" s="66"/>
      <c r="B87" s="18"/>
      <c r="C87" s="73"/>
      <c r="D87" s="75"/>
      <c r="E87" s="18"/>
      <c r="F87" s="71"/>
      <c r="G87" s="66"/>
      <c r="H87" s="66"/>
      <c r="I87" s="66"/>
      <c r="J87" s="66"/>
    </row>
    <row r="88" customFormat="false" ht="18.95" hidden="false" customHeight="true" outlineLevel="0" collapsed="false">
      <c r="A88" s="7" t="s">
        <v>45</v>
      </c>
      <c r="B88" s="7"/>
      <c r="C88" s="7"/>
      <c r="D88" s="76" t="s">
        <v>46</v>
      </c>
      <c r="E88" s="76"/>
      <c r="F88" s="76"/>
      <c r="G88" s="76" t="s">
        <v>47</v>
      </c>
      <c r="H88" s="76"/>
      <c r="I88" s="76"/>
      <c r="J88" s="76"/>
    </row>
    <row r="89" customFormat="false" ht="18.95" hidden="false" customHeight="true" outlineLevel="0" collapsed="false">
      <c r="D89" s="64"/>
      <c r="E89" s="65"/>
      <c r="J89" s="77"/>
    </row>
    <row r="90" customFormat="false" ht="18.95" hidden="false" customHeight="true" outlineLevel="0" collapsed="false">
      <c r="D90" s="64"/>
      <c r="E90" s="65"/>
    </row>
    <row r="91" customFormat="false" ht="18.95" hidden="false" customHeight="true" outlineLevel="0" collapsed="false">
      <c r="D91" s="64"/>
      <c r="E91" s="65"/>
    </row>
    <row r="92" customFormat="false" ht="18.95" hidden="false" customHeight="true" outlineLevel="0" collapsed="false">
      <c r="D92" s="64"/>
      <c r="E92" s="65"/>
    </row>
    <row r="93" customFormat="false" ht="18.95" hidden="false" customHeight="true" outlineLevel="0" collapsed="false">
      <c r="D93" s="64"/>
      <c r="E93" s="65"/>
    </row>
    <row r="94" customFormat="false" ht="18.95" hidden="false" customHeight="true" outlineLevel="0" collapsed="false">
      <c r="D94" s="64"/>
      <c r="E94" s="65"/>
    </row>
    <row r="95" customFormat="false" ht="18.95" hidden="false" customHeight="true" outlineLevel="0" collapsed="false">
      <c r="D95" s="64"/>
      <c r="E95" s="65"/>
    </row>
    <row r="96" customFormat="false" ht="18.95" hidden="false" customHeight="true" outlineLevel="0" collapsed="false">
      <c r="D96" s="64"/>
      <c r="E96" s="65"/>
    </row>
    <row r="97" customFormat="false" ht="18.95" hidden="false" customHeight="true" outlineLevel="0" collapsed="false">
      <c r="D97" s="64"/>
      <c r="E97" s="65"/>
    </row>
    <row r="98" customFormat="false" ht="18.95" hidden="false" customHeight="true" outlineLevel="0" collapsed="false">
      <c r="D98" s="64"/>
      <c r="E98" s="65"/>
    </row>
    <row r="99" customFormat="false" ht="18.95" hidden="false" customHeight="true" outlineLevel="0" collapsed="false">
      <c r="D99" s="64"/>
      <c r="E99" s="65"/>
    </row>
    <row r="100" customFormat="false" ht="18.95" hidden="false" customHeight="true" outlineLevel="0" collapsed="false">
      <c r="D100" s="64"/>
      <c r="E100" s="65"/>
    </row>
    <row r="101" customFormat="false" ht="18.95" hidden="false" customHeight="true" outlineLevel="0" collapsed="false">
      <c r="D101" s="64"/>
      <c r="E101" s="65"/>
    </row>
    <row r="102" customFormat="false" ht="18.95" hidden="false" customHeight="true" outlineLevel="0" collapsed="false">
      <c r="D102" s="64"/>
      <c r="E102" s="65"/>
    </row>
    <row r="103" customFormat="false" ht="18.95" hidden="false" customHeight="true" outlineLevel="0" collapsed="false">
      <c r="D103" s="64"/>
      <c r="E103" s="65"/>
    </row>
    <row r="104" customFormat="false" ht="18.95" hidden="false" customHeight="true" outlineLevel="0" collapsed="false">
      <c r="D104" s="64"/>
      <c r="E104" s="65"/>
    </row>
    <row r="105" customFormat="false" ht="18.95" hidden="false" customHeight="true" outlineLevel="0" collapsed="false">
      <c r="D105" s="64"/>
      <c r="E105" s="65"/>
    </row>
    <row r="106" customFormat="false" ht="18.95" hidden="false" customHeight="true" outlineLevel="0" collapsed="false">
      <c r="D106" s="64"/>
      <c r="E106" s="65"/>
    </row>
    <row r="107" customFormat="false" ht="18.95" hidden="false" customHeight="true" outlineLevel="0" collapsed="false">
      <c r="D107" s="64"/>
      <c r="E107" s="65"/>
    </row>
    <row r="108" customFormat="false" ht="18.95" hidden="false" customHeight="true" outlineLevel="0" collapsed="false">
      <c r="D108" s="64"/>
      <c r="E108" s="65"/>
    </row>
    <row r="109" customFormat="false" ht="18.95" hidden="false" customHeight="true" outlineLevel="0" collapsed="false">
      <c r="D109" s="64"/>
      <c r="E109" s="65"/>
    </row>
    <row r="110" customFormat="false" ht="18.95" hidden="false" customHeight="true" outlineLevel="0" collapsed="false">
      <c r="D110" s="64"/>
      <c r="E110" s="65"/>
    </row>
    <row r="111" customFormat="false" ht="18.95" hidden="false" customHeight="true" outlineLevel="0" collapsed="false">
      <c r="D111" s="64"/>
      <c r="E111" s="65"/>
    </row>
    <row r="112" customFormat="false" ht="18.95" hidden="false" customHeight="true" outlineLevel="0" collapsed="false">
      <c r="D112" s="64"/>
      <c r="E112" s="65"/>
    </row>
    <row r="113" customFormat="false" ht="18.95" hidden="false" customHeight="true" outlineLevel="0" collapsed="false">
      <c r="D113" s="64"/>
      <c r="E113" s="65"/>
    </row>
    <row r="114" customFormat="false" ht="18.95" hidden="false" customHeight="true" outlineLevel="0" collapsed="false">
      <c r="D114" s="64"/>
      <c r="E114" s="65"/>
    </row>
    <row r="115" customFormat="false" ht="18.95" hidden="false" customHeight="true" outlineLevel="0" collapsed="false">
      <c r="D115" s="64"/>
      <c r="E115" s="65"/>
    </row>
    <row r="116" customFormat="false" ht="18.95" hidden="false" customHeight="true" outlineLevel="0" collapsed="false">
      <c r="D116" s="64"/>
      <c r="E116" s="65"/>
    </row>
    <row r="117" customFormat="false" ht="18.95" hidden="false" customHeight="true" outlineLevel="0" collapsed="false">
      <c r="D117" s="64"/>
      <c r="E117" s="65"/>
    </row>
    <row r="118" customFormat="false" ht="18.95" hidden="false" customHeight="true" outlineLevel="0" collapsed="false">
      <c r="D118" s="64"/>
      <c r="E118" s="65"/>
    </row>
    <row r="119" customFormat="false" ht="18.95" hidden="false" customHeight="true" outlineLevel="0" collapsed="false">
      <c r="D119" s="64"/>
      <c r="E119" s="65"/>
    </row>
    <row r="120" customFormat="false" ht="18.95" hidden="false" customHeight="true" outlineLevel="0" collapsed="false">
      <c r="D120" s="64"/>
      <c r="E120" s="65"/>
    </row>
    <row r="121" customFormat="false" ht="18.95" hidden="false" customHeight="true" outlineLevel="0" collapsed="false">
      <c r="D121" s="64"/>
      <c r="E121" s="65"/>
    </row>
    <row r="122" customFormat="false" ht="18.95" hidden="false" customHeight="true" outlineLevel="0" collapsed="false">
      <c r="D122" s="64"/>
      <c r="E122" s="65"/>
    </row>
    <row r="123" customFormat="false" ht="18.95" hidden="false" customHeight="true" outlineLevel="0" collapsed="false">
      <c r="D123" s="64"/>
      <c r="E123" s="65"/>
    </row>
    <row r="124" customFormat="false" ht="18.95" hidden="false" customHeight="true" outlineLevel="0" collapsed="false">
      <c r="D124" s="64"/>
      <c r="E124" s="65"/>
    </row>
    <row r="125" customFormat="false" ht="18.95" hidden="false" customHeight="true" outlineLevel="0" collapsed="false">
      <c r="D125" s="64"/>
      <c r="E125" s="65"/>
    </row>
    <row r="126" customFormat="false" ht="18.95" hidden="false" customHeight="true" outlineLevel="0" collapsed="false">
      <c r="D126" s="64"/>
      <c r="E126" s="65"/>
    </row>
    <row r="127" customFormat="false" ht="18.95" hidden="false" customHeight="true" outlineLevel="0" collapsed="false">
      <c r="D127" s="64"/>
      <c r="E127" s="65"/>
    </row>
    <row r="128" customFormat="false" ht="18.95" hidden="false" customHeight="true" outlineLevel="0" collapsed="false">
      <c r="D128" s="64"/>
      <c r="E128" s="65"/>
    </row>
    <row r="129" customFormat="false" ht="18.95" hidden="false" customHeight="true" outlineLevel="0" collapsed="false">
      <c r="D129" s="64"/>
      <c r="E129" s="65"/>
    </row>
    <row r="130" customFormat="false" ht="18.95" hidden="false" customHeight="true" outlineLevel="0" collapsed="false">
      <c r="D130" s="64"/>
      <c r="E130" s="65"/>
    </row>
    <row r="131" customFormat="false" ht="18.95" hidden="false" customHeight="true" outlineLevel="0" collapsed="false">
      <c r="D131" s="64"/>
      <c r="E131" s="65"/>
    </row>
    <row r="132" customFormat="false" ht="18.95" hidden="false" customHeight="true" outlineLevel="0" collapsed="false">
      <c r="D132" s="64"/>
      <c r="E132" s="65"/>
    </row>
    <row r="133" customFormat="false" ht="18.95" hidden="false" customHeight="true" outlineLevel="0" collapsed="false">
      <c r="D133" s="64"/>
      <c r="E133" s="65"/>
    </row>
    <row r="134" customFormat="false" ht="18.95" hidden="false" customHeight="true" outlineLevel="0" collapsed="false">
      <c r="D134" s="64"/>
      <c r="E134" s="65"/>
    </row>
    <row r="135" customFormat="false" ht="18.95" hidden="false" customHeight="true" outlineLevel="0" collapsed="false">
      <c r="D135" s="64"/>
      <c r="E135" s="65"/>
    </row>
    <row r="136" customFormat="false" ht="18.95" hidden="false" customHeight="true" outlineLevel="0" collapsed="false">
      <c r="D136" s="64"/>
      <c r="E136" s="65"/>
    </row>
    <row r="137" customFormat="false" ht="18.95" hidden="false" customHeight="true" outlineLevel="0" collapsed="false">
      <c r="D137" s="64"/>
      <c r="E137" s="65"/>
    </row>
    <row r="138" customFormat="false" ht="18.95" hidden="false" customHeight="true" outlineLevel="0" collapsed="false">
      <c r="D138" s="64"/>
      <c r="E138" s="65"/>
    </row>
    <row r="139" customFormat="false" ht="18.95" hidden="false" customHeight="true" outlineLevel="0" collapsed="false">
      <c r="D139" s="64"/>
      <c r="E139" s="65"/>
    </row>
    <row r="140" customFormat="false" ht="18.95" hidden="false" customHeight="true" outlineLevel="0" collapsed="false">
      <c r="D140" s="64"/>
      <c r="E140" s="65"/>
    </row>
    <row r="141" customFormat="false" ht="18.95" hidden="false" customHeight="true" outlineLevel="0" collapsed="false">
      <c r="D141" s="64"/>
      <c r="E141" s="65"/>
    </row>
    <row r="142" customFormat="false" ht="18.95" hidden="false" customHeight="true" outlineLevel="0" collapsed="false">
      <c r="D142" s="64"/>
      <c r="E142" s="65"/>
    </row>
    <row r="143" customFormat="false" ht="18.95" hidden="false" customHeight="true" outlineLevel="0" collapsed="false">
      <c r="D143" s="64"/>
      <c r="E143" s="65"/>
    </row>
    <row r="144" customFormat="false" ht="18.95" hidden="false" customHeight="true" outlineLevel="0" collapsed="false">
      <c r="D144" s="64"/>
      <c r="E144" s="65"/>
    </row>
    <row r="145" customFormat="false" ht="18.95" hidden="false" customHeight="true" outlineLevel="0" collapsed="false">
      <c r="D145" s="64"/>
      <c r="E145" s="65"/>
    </row>
    <row r="146" customFormat="false" ht="18.95" hidden="false" customHeight="true" outlineLevel="0" collapsed="false">
      <c r="D146" s="64"/>
      <c r="E146" s="65"/>
    </row>
    <row r="147" customFormat="false" ht="18.95" hidden="false" customHeight="true" outlineLevel="0" collapsed="false">
      <c r="D147" s="64"/>
      <c r="E147" s="65"/>
    </row>
    <row r="148" customFormat="false" ht="18.95" hidden="false" customHeight="true" outlineLevel="0" collapsed="false">
      <c r="D148" s="64"/>
      <c r="E148" s="65"/>
    </row>
    <row r="149" customFormat="false" ht="18.95" hidden="false" customHeight="true" outlineLevel="0" collapsed="false">
      <c r="D149" s="64"/>
      <c r="E149" s="65"/>
    </row>
    <row r="150" customFormat="false" ht="18.95" hidden="false" customHeight="true" outlineLevel="0" collapsed="false">
      <c r="D150" s="64"/>
      <c r="E150" s="65"/>
    </row>
    <row r="151" customFormat="false" ht="18.95" hidden="false" customHeight="true" outlineLevel="0" collapsed="false">
      <c r="D151" s="64"/>
      <c r="E151" s="65"/>
    </row>
    <row r="152" customFormat="false" ht="18.95" hidden="false" customHeight="true" outlineLevel="0" collapsed="false">
      <c r="D152" s="64"/>
      <c r="E152" s="65"/>
    </row>
    <row r="153" customFormat="false" ht="18.95" hidden="false" customHeight="true" outlineLevel="0" collapsed="false">
      <c r="D153" s="64"/>
      <c r="E153" s="65"/>
    </row>
    <row r="154" customFormat="false" ht="18.95" hidden="false" customHeight="true" outlineLevel="0" collapsed="false">
      <c r="D154" s="64"/>
      <c r="E154" s="65"/>
    </row>
    <row r="155" customFormat="false" ht="18.95" hidden="false" customHeight="true" outlineLevel="0" collapsed="false">
      <c r="D155" s="64"/>
      <c r="E155" s="65"/>
    </row>
    <row r="156" customFormat="false" ht="18.95" hidden="false" customHeight="true" outlineLevel="0" collapsed="false">
      <c r="D156" s="64"/>
      <c r="E156" s="65"/>
    </row>
    <row r="157" customFormat="false" ht="18.95" hidden="false" customHeight="true" outlineLevel="0" collapsed="false">
      <c r="D157" s="64"/>
      <c r="E157" s="65"/>
    </row>
    <row r="158" customFormat="false" ht="18.95" hidden="false" customHeight="true" outlineLevel="0" collapsed="false">
      <c r="D158" s="64"/>
      <c r="E158" s="65"/>
    </row>
    <row r="159" customFormat="false" ht="18.95" hidden="false" customHeight="true" outlineLevel="0" collapsed="false">
      <c r="D159" s="64"/>
      <c r="E159" s="65"/>
    </row>
    <row r="160" customFormat="false" ht="18.95" hidden="false" customHeight="true" outlineLevel="0" collapsed="false">
      <c r="D160" s="64"/>
      <c r="E160" s="65"/>
    </row>
    <row r="161" customFormat="false" ht="18.95" hidden="false" customHeight="true" outlineLevel="0" collapsed="false">
      <c r="D161" s="64"/>
      <c r="E161" s="65"/>
    </row>
    <row r="162" customFormat="false" ht="18.95" hidden="false" customHeight="true" outlineLevel="0" collapsed="false">
      <c r="D162" s="64"/>
      <c r="E162" s="65"/>
    </row>
    <row r="163" customFormat="false" ht="18.95" hidden="false" customHeight="true" outlineLevel="0" collapsed="false">
      <c r="D163" s="64"/>
      <c r="E163" s="65"/>
    </row>
    <row r="164" customFormat="false" ht="18.95" hidden="false" customHeight="true" outlineLevel="0" collapsed="false">
      <c r="D164" s="64"/>
      <c r="E164" s="65"/>
    </row>
    <row r="165" customFormat="false" ht="18.95" hidden="false" customHeight="true" outlineLevel="0" collapsed="false">
      <c r="D165" s="64"/>
      <c r="E165" s="65"/>
    </row>
    <row r="166" customFormat="false" ht="18.95" hidden="false" customHeight="true" outlineLevel="0" collapsed="false">
      <c r="D166" s="64"/>
      <c r="E166" s="65"/>
    </row>
    <row r="167" customFormat="false" ht="18.95" hidden="false" customHeight="true" outlineLevel="0" collapsed="false">
      <c r="D167" s="64"/>
      <c r="E167" s="65"/>
    </row>
    <row r="168" customFormat="false" ht="18.95" hidden="false" customHeight="true" outlineLevel="0" collapsed="false">
      <c r="D168" s="64"/>
      <c r="E168" s="65"/>
    </row>
    <row r="169" customFormat="false" ht="18.95" hidden="false" customHeight="true" outlineLevel="0" collapsed="false">
      <c r="D169" s="64"/>
      <c r="E169" s="65"/>
    </row>
    <row r="170" customFormat="false" ht="18.95" hidden="false" customHeight="true" outlineLevel="0" collapsed="false">
      <c r="D170" s="64"/>
      <c r="E170" s="65"/>
    </row>
    <row r="171" customFormat="false" ht="18.95" hidden="false" customHeight="true" outlineLevel="0" collapsed="false">
      <c r="D171" s="64"/>
      <c r="E171" s="65"/>
    </row>
    <row r="172" customFormat="false" ht="18.95" hidden="false" customHeight="true" outlineLevel="0" collapsed="false">
      <c r="D172" s="64"/>
      <c r="E172" s="65"/>
    </row>
    <row r="173" customFormat="false" ht="18.95" hidden="false" customHeight="true" outlineLevel="0" collapsed="false">
      <c r="D173" s="64"/>
      <c r="E173" s="65"/>
    </row>
    <row r="174" customFormat="false" ht="18.95" hidden="false" customHeight="true" outlineLevel="0" collapsed="false">
      <c r="D174" s="64"/>
      <c r="E174" s="65"/>
    </row>
    <row r="175" customFormat="false" ht="18.95" hidden="false" customHeight="true" outlineLevel="0" collapsed="false">
      <c r="D175" s="64"/>
      <c r="E175" s="65"/>
    </row>
    <row r="176" customFormat="false" ht="18.95" hidden="false" customHeight="true" outlineLevel="0" collapsed="false">
      <c r="D176" s="64"/>
      <c r="E176" s="65"/>
    </row>
    <row r="177" customFormat="false" ht="18.95" hidden="false" customHeight="true" outlineLevel="0" collapsed="false">
      <c r="D177" s="64"/>
      <c r="E177" s="65"/>
    </row>
    <row r="178" customFormat="false" ht="18.95" hidden="false" customHeight="true" outlineLevel="0" collapsed="false">
      <c r="D178" s="64"/>
      <c r="E178" s="65"/>
    </row>
    <row r="179" customFormat="false" ht="18.95" hidden="false" customHeight="true" outlineLevel="0" collapsed="false">
      <c r="D179" s="64"/>
      <c r="E179" s="65"/>
    </row>
    <row r="180" customFormat="false" ht="18.95" hidden="false" customHeight="true" outlineLevel="0" collapsed="false">
      <c r="D180" s="64"/>
      <c r="E180" s="65"/>
    </row>
    <row r="181" customFormat="false" ht="18.95" hidden="false" customHeight="true" outlineLevel="0" collapsed="false">
      <c r="D181" s="64"/>
      <c r="E181" s="65"/>
    </row>
    <row r="182" customFormat="false" ht="18.95" hidden="false" customHeight="true" outlineLevel="0" collapsed="false">
      <c r="D182" s="64"/>
      <c r="E182" s="65"/>
    </row>
    <row r="183" customFormat="false" ht="18.95" hidden="false" customHeight="true" outlineLevel="0" collapsed="false">
      <c r="D183" s="64"/>
      <c r="E183" s="65"/>
    </row>
    <row r="184" customFormat="false" ht="18.95" hidden="false" customHeight="true" outlineLevel="0" collapsed="false">
      <c r="D184" s="64"/>
      <c r="E184" s="65"/>
    </row>
    <row r="185" customFormat="false" ht="18.95" hidden="false" customHeight="true" outlineLevel="0" collapsed="false">
      <c r="D185" s="64"/>
      <c r="E185" s="65"/>
    </row>
    <row r="186" customFormat="false" ht="18.95" hidden="false" customHeight="true" outlineLevel="0" collapsed="false">
      <c r="D186" s="64"/>
      <c r="E186" s="65"/>
    </row>
    <row r="187" customFormat="false" ht="18.95" hidden="false" customHeight="true" outlineLevel="0" collapsed="false">
      <c r="D187" s="64"/>
      <c r="E187" s="65"/>
    </row>
    <row r="188" customFormat="false" ht="18.95" hidden="false" customHeight="true" outlineLevel="0" collapsed="false">
      <c r="D188" s="64"/>
      <c r="E188" s="65"/>
    </row>
    <row r="189" customFormat="false" ht="18.95" hidden="false" customHeight="true" outlineLevel="0" collapsed="false">
      <c r="D189" s="64"/>
      <c r="E189" s="65"/>
    </row>
    <row r="190" customFormat="false" ht="18.95" hidden="false" customHeight="true" outlineLevel="0" collapsed="false">
      <c r="D190" s="64"/>
      <c r="E190" s="65"/>
    </row>
    <row r="191" customFormat="false" ht="18.95" hidden="false" customHeight="true" outlineLevel="0" collapsed="false">
      <c r="D191" s="64"/>
      <c r="E191" s="65"/>
    </row>
    <row r="192" customFormat="false" ht="18.95" hidden="false" customHeight="true" outlineLevel="0" collapsed="false">
      <c r="D192" s="64"/>
      <c r="E192" s="65"/>
    </row>
    <row r="193" customFormat="false" ht="18.95" hidden="false" customHeight="true" outlineLevel="0" collapsed="false">
      <c r="D193" s="64"/>
      <c r="E193" s="65"/>
    </row>
    <row r="194" customFormat="false" ht="18.95" hidden="false" customHeight="true" outlineLevel="0" collapsed="false">
      <c r="D194" s="64"/>
      <c r="E194" s="65"/>
    </row>
    <row r="195" customFormat="false" ht="18.95" hidden="false" customHeight="true" outlineLevel="0" collapsed="false">
      <c r="D195" s="64"/>
      <c r="E195" s="65"/>
    </row>
    <row r="196" customFormat="false" ht="18.95" hidden="false" customHeight="true" outlineLevel="0" collapsed="false">
      <c r="D196" s="64"/>
      <c r="E196" s="65"/>
    </row>
    <row r="197" customFormat="false" ht="18.95" hidden="false" customHeight="true" outlineLevel="0" collapsed="false">
      <c r="D197" s="64"/>
      <c r="E197" s="65"/>
    </row>
    <row r="198" customFormat="false" ht="18.95" hidden="false" customHeight="true" outlineLevel="0" collapsed="false">
      <c r="D198" s="64"/>
      <c r="E198" s="65"/>
    </row>
  </sheetData>
  <mergeCells count="20">
    <mergeCell ref="A1:D1"/>
    <mergeCell ref="E1:J1"/>
    <mergeCell ref="A2:D2"/>
    <mergeCell ref="A3:D3"/>
    <mergeCell ref="E3:J3"/>
    <mergeCell ref="A5:J5"/>
    <mergeCell ref="A6:J6"/>
    <mergeCell ref="A9:J9"/>
    <mergeCell ref="A29:A30"/>
    <mergeCell ref="B29:B30"/>
    <mergeCell ref="C29:D30"/>
    <mergeCell ref="E29:E30"/>
    <mergeCell ref="F29:F30"/>
    <mergeCell ref="G29:G30"/>
    <mergeCell ref="H29:H30"/>
    <mergeCell ref="I29:I30"/>
    <mergeCell ref="J29:J30"/>
    <mergeCell ref="A88:C88"/>
    <mergeCell ref="D88:F88"/>
    <mergeCell ref="G88:J88"/>
  </mergeCells>
  <printOptions headings="false" gridLines="false" gridLinesSet="true" horizontalCentered="false" verticalCentered="false"/>
  <pageMargins left="0.472222222222222" right="0.39375" top="0.590277777777778" bottom="0.551388888888889" header="0.511811023622047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&amp;R&amp;"Calibri"&amp;11&amp;K000000&amp;P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W18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I73" activeCellId="0" sqref="AI73"/>
    </sheetView>
  </sheetViews>
  <sheetFormatPr defaultColWidth="9.13671875" defaultRowHeight="18.95" customHeight="true" zeroHeight="false" outlineLevelRow="0" outlineLevelCol="0"/>
  <cols>
    <col collapsed="false" customWidth="true" hidden="false" outlineLevel="0" max="1" min="1" style="78" width="4.56"/>
    <col collapsed="false" customWidth="true" hidden="false" outlineLevel="0" max="2" min="2" style="79" width="16.42"/>
    <col collapsed="false" customWidth="true" hidden="false" outlineLevel="0" max="3" min="3" style="1" width="15.56"/>
    <col collapsed="false" customWidth="true" hidden="false" outlineLevel="0" max="4" min="4" style="80" width="7.14"/>
    <col collapsed="false" customWidth="true" hidden="false" outlineLevel="0" max="5" min="5" style="81" width="12.28"/>
    <col collapsed="false" customWidth="true" hidden="false" outlineLevel="0" max="6" min="6" style="78" width="14.99"/>
    <col collapsed="false" customWidth="true" hidden="false" outlineLevel="0" max="7" min="7" style="78" width="10.99"/>
    <col collapsed="false" customWidth="true" hidden="true" outlineLevel="0" max="8" min="8" style="79" width="10.13"/>
    <col collapsed="false" customWidth="true" hidden="true" outlineLevel="0" max="9" min="9" style="79" width="8.85"/>
    <col collapsed="false" customWidth="true" hidden="true" outlineLevel="0" max="10" min="10" style="78" width="9.85"/>
    <col collapsed="false" customWidth="false" hidden="true" outlineLevel="0" max="11" min="11" style="78" width="9.14"/>
    <col collapsed="false" customWidth="true" hidden="true" outlineLevel="0" max="12" min="12" style="78" width="7.28"/>
    <col collapsed="false" customWidth="true" hidden="false" outlineLevel="0" max="13" min="13" style="78" width="11.85"/>
    <col collapsed="false" customWidth="true" hidden="false" outlineLevel="0" max="14" min="14" style="78" width="9.56"/>
    <col collapsed="false" customWidth="true" hidden="true" outlineLevel="0" max="15" min="15" style="78" width="10.99"/>
    <col collapsed="false" customWidth="false" hidden="false" outlineLevel="0" max="17" min="16" style="78" width="9.14"/>
    <col collapsed="false" customWidth="true" hidden="true" outlineLevel="0" max="29" min="18" style="78" width="8.96"/>
    <col collapsed="false" customWidth="false" hidden="false" outlineLevel="0" max="257" min="30" style="78" width="9.14"/>
  </cols>
  <sheetData>
    <row r="1" customFormat="false" ht="18.95" hidden="false" customHeight="true" outlineLevel="0" collapsed="false">
      <c r="A1" s="82" t="s">
        <v>48</v>
      </c>
      <c r="B1" s="83"/>
      <c r="C1" s="84"/>
      <c r="D1" s="83" t="s">
        <v>49</v>
      </c>
      <c r="E1" s="83"/>
      <c r="F1" s="83"/>
      <c r="G1" s="83"/>
      <c r="H1" s="83"/>
      <c r="I1" s="83"/>
      <c r="J1" s="83"/>
      <c r="K1" s="83"/>
      <c r="L1" s="83"/>
      <c r="M1" s="83"/>
      <c r="N1" s="83"/>
    </row>
    <row r="2" customFormat="false" ht="18.95" hidden="false" customHeight="true" outlineLevel="0" collapsed="false">
      <c r="A2" s="85" t="s">
        <v>50</v>
      </c>
      <c r="B2" s="86"/>
      <c r="C2" s="87"/>
      <c r="D2" s="86" t="s">
        <v>51</v>
      </c>
      <c r="E2" s="86"/>
      <c r="F2" s="86"/>
      <c r="G2" s="86"/>
      <c r="H2" s="86"/>
      <c r="I2" s="86"/>
      <c r="J2" s="86"/>
      <c r="K2" s="86"/>
      <c r="L2" s="86"/>
      <c r="M2" s="86"/>
      <c r="N2" s="86"/>
    </row>
    <row r="3" customFormat="false" ht="18.95" hidden="false" customHeight="true" outlineLevel="0" collapsed="false">
      <c r="E3" s="88" t="s">
        <v>52</v>
      </c>
      <c r="F3" s="88"/>
      <c r="G3" s="88"/>
      <c r="H3" s="88"/>
      <c r="I3" s="88"/>
      <c r="J3" s="88"/>
      <c r="K3" s="88"/>
      <c r="L3" s="88"/>
      <c r="M3" s="88"/>
      <c r="N3" s="88"/>
    </row>
    <row r="4" customFormat="false" ht="18.95" hidden="false" customHeight="true" outlineLevel="0" collapsed="false">
      <c r="A4" s="89" t="s">
        <v>53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customFormat="false" ht="18.95" hidden="false" customHeight="true" outlineLevel="0" collapsed="false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91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</row>
    <row r="6" customFormat="false" ht="18.95" hidden="false" customHeight="true" outlineLevel="0" collapsed="false">
      <c r="A6" s="90" t="s">
        <v>54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91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18.95" hidden="false" customHeight="true" outlineLevel="0" collapsed="false">
      <c r="A7" s="92" t="s">
        <v>55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1"/>
      <c r="P7" s="25"/>
      <c r="Q7" s="25"/>
      <c r="R7" s="25"/>
      <c r="S7" s="25"/>
      <c r="T7" s="25"/>
      <c r="U7" s="13"/>
      <c r="V7" s="13"/>
      <c r="W7" s="13"/>
      <c r="X7" s="13"/>
      <c r="Y7" s="13"/>
      <c r="Z7" s="9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</row>
    <row r="8" customFormat="false" ht="18.95" hidden="false" customHeight="true" outlineLevel="0" collapsed="false">
      <c r="A8" s="94" t="s">
        <v>56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</row>
    <row r="9" customFormat="false" ht="18.95" hidden="false" customHeight="true" outlineLevel="0" collapsed="false">
      <c r="A9" s="94" t="s">
        <v>57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</row>
    <row r="10" customFormat="false" ht="18.75" hidden="false" customHeight="true" outlineLevel="0" collapsed="false">
      <c r="A10" s="95" t="s">
        <v>58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</row>
    <row r="11" customFormat="false" ht="18.75" hidden="false" customHeight="true" outlineLevel="0" collapsed="false">
      <c r="A11" s="92" t="s">
        <v>59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18"/>
      <c r="P11" s="18"/>
      <c r="Q11" s="18"/>
      <c r="R11" s="18" t="s">
        <v>60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</row>
    <row r="12" customFormat="false" ht="18.75" hidden="false" customHeight="true" outlineLevel="0" collapsed="false">
      <c r="A12" s="95" t="s">
        <v>61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13"/>
      <c r="P12" s="13"/>
      <c r="Q12" s="13"/>
      <c r="R12" s="13" t="s">
        <v>62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</row>
    <row r="13" customFormat="false" ht="18.75" hidden="false" customHeight="true" outlineLevel="0" collapsed="false">
      <c r="A13" s="97" t="s">
        <v>63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13"/>
      <c r="P13" s="13"/>
      <c r="Q13" s="13"/>
      <c r="R13" s="13" t="s">
        <v>64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</row>
    <row r="14" customFormat="false" ht="18.75" hidden="false" customHeight="true" outlineLevel="0" collapsed="false">
      <c r="A14" s="97" t="s">
        <v>65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13"/>
      <c r="P14" s="13"/>
      <c r="Q14" s="13"/>
      <c r="R14" s="13" t="s">
        <v>66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</row>
    <row r="15" customFormat="false" ht="18.75" hidden="false" customHeight="true" outlineLevel="0" collapsed="false">
      <c r="A15" s="97" t="s">
        <v>67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13"/>
      <c r="P15" s="13"/>
      <c r="Q15" s="13"/>
      <c r="R15" s="13" t="s">
        <v>68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</row>
    <row r="16" customFormat="false" ht="13.5" hidden="false" customHeight="true" outlineLevel="0" collapsed="false">
      <c r="A16" s="18"/>
      <c r="B16" s="27"/>
      <c r="C16" s="28"/>
      <c r="D16" s="29"/>
      <c r="E16" s="30"/>
      <c r="F16" s="28"/>
      <c r="G16" s="28"/>
      <c r="H16" s="27"/>
      <c r="I16" s="27"/>
      <c r="J16" s="28"/>
      <c r="K16" s="28"/>
      <c r="L16" s="28"/>
      <c r="M16" s="28"/>
      <c r="N16" s="28"/>
      <c r="O16" s="98"/>
      <c r="P16" s="98"/>
      <c r="Q16" s="98"/>
      <c r="R16" s="98" t="s">
        <v>69</v>
      </c>
      <c r="S16" s="98" t="s">
        <v>70</v>
      </c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</row>
    <row r="17" customFormat="false" ht="24" hidden="false" customHeight="true" outlineLevel="0" collapsed="false">
      <c r="A17" s="99" t="s">
        <v>26</v>
      </c>
      <c r="B17" s="100" t="s">
        <v>27</v>
      </c>
      <c r="C17" s="101" t="s">
        <v>28</v>
      </c>
      <c r="D17" s="101"/>
      <c r="E17" s="102" t="s">
        <v>71</v>
      </c>
      <c r="F17" s="101" t="s">
        <v>72</v>
      </c>
      <c r="G17" s="101" t="s">
        <v>73</v>
      </c>
      <c r="H17" s="101" t="s">
        <v>74</v>
      </c>
      <c r="I17" s="101"/>
      <c r="J17" s="101" t="s">
        <v>75</v>
      </c>
      <c r="K17" s="101"/>
      <c r="L17" s="101" t="s">
        <v>76</v>
      </c>
      <c r="M17" s="101" t="s">
        <v>32</v>
      </c>
      <c r="N17" s="101" t="s">
        <v>77</v>
      </c>
      <c r="O17" s="98"/>
      <c r="P17" s="98"/>
      <c r="Q17" s="98"/>
      <c r="R17" s="98" t="s">
        <v>78</v>
      </c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</row>
    <row r="18" customFormat="false" ht="24" hidden="false" customHeight="true" outlineLevel="0" collapsed="false">
      <c r="A18" s="99"/>
      <c r="B18" s="100"/>
      <c r="C18" s="101"/>
      <c r="D18" s="101"/>
      <c r="E18" s="102"/>
      <c r="F18" s="101"/>
      <c r="G18" s="101"/>
      <c r="H18" s="100" t="s">
        <v>79</v>
      </c>
      <c r="I18" s="100" t="s">
        <v>80</v>
      </c>
      <c r="J18" s="100" t="s">
        <v>79</v>
      </c>
      <c r="K18" s="100" t="s">
        <v>80</v>
      </c>
      <c r="L18" s="101"/>
      <c r="M18" s="101"/>
      <c r="N18" s="101"/>
      <c r="O18" s="98"/>
      <c r="P18" s="98"/>
      <c r="Q18" s="98"/>
      <c r="R18" s="98" t="s">
        <v>81</v>
      </c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</row>
    <row r="19" customFormat="false" ht="25.5" hidden="false" customHeight="true" outlineLevel="0" collapsed="false">
      <c r="A19" s="103" t="n">
        <v>1</v>
      </c>
      <c r="B19" s="103"/>
      <c r="C19" s="38"/>
      <c r="D19" s="39"/>
      <c r="E19" s="40"/>
      <c r="F19" s="104"/>
      <c r="G19" s="105"/>
      <c r="H19" s="106"/>
      <c r="I19" s="107" t="str">
        <f aca="false">IF(H19&gt;=90,"Xuất sắc",IF(H19&gt;=80,"Tốt",IF(H19&gt;=65,"Khá",IF(H19&gt;=50,"TB",""))))</f>
        <v/>
      </c>
      <c r="J19" s="106"/>
      <c r="K19" s="107" t="str">
        <f aca="false">IF(J19&gt;=90,"Xuất sắc",IF(J19&gt;=80,"Tốt",IF(J19&gt;=65,"Khá",IF(J19&gt;=50,"TB",""))))</f>
        <v/>
      </c>
      <c r="L19" s="108" t="str">
        <f aca="false">K19</f>
        <v/>
      </c>
      <c r="M19" s="108" t="str">
        <f aca="false">IF(F19&gt;=90,"Xuất sắc",IF(F19&gt;=80,"Tốt",IF(F19&gt;=65,"Khá",IF(F19&gt;=50,"TB",""))))</f>
        <v/>
      </c>
      <c r="N19" s="109"/>
      <c r="O19" s="110" t="str">
        <f aca="false">IF(F19&gt;=90,"Xuất sắc",IF(F19&gt;=80,"Tốt",IF(F19&gt;=65,"Khá",IF(F19&gt;=50,"TB",""))))</f>
        <v/>
      </c>
      <c r="P19" s="98"/>
      <c r="Q19" s="98"/>
      <c r="R19" s="98" t="s">
        <v>82</v>
      </c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</row>
    <row r="20" customFormat="false" ht="25.5" hidden="false" customHeight="true" outlineLevel="0" collapsed="false">
      <c r="A20" s="111" t="n">
        <v>2</v>
      </c>
      <c r="B20" s="111"/>
      <c r="C20" s="46"/>
      <c r="D20" s="47"/>
      <c r="E20" s="48"/>
      <c r="F20" s="112"/>
      <c r="G20" s="112"/>
      <c r="H20" s="113"/>
      <c r="I20" s="114" t="str">
        <f aca="false">IF(H20&gt;=90,"Xuất sắc",IF(H20&gt;=80,"Tốt",IF(H20&gt;=65,"Khá",IF(H20&gt;=50,"TB",""))))</f>
        <v/>
      </c>
      <c r="J20" s="113"/>
      <c r="K20" s="114" t="str">
        <f aca="false">IF(J20&gt;=90,"Xuất sắc",IF(J20&gt;=80,"Tốt",IF(J20&gt;=65,"Khá",IF(J20&gt;=50,"TB",""))))</f>
        <v/>
      </c>
      <c r="L20" s="108" t="str">
        <f aca="false">K20</f>
        <v/>
      </c>
      <c r="M20" s="115" t="str">
        <f aca="false">IF(F20&gt;=90,"Xuất sắc",IF(F20&gt;=80,"Tốt",IF(F20&gt;=65,"Khá",IF(F20&gt;=50,"TB",""))))</f>
        <v/>
      </c>
      <c r="N20" s="116"/>
      <c r="O20" s="110" t="str">
        <f aca="false">IF(F20&gt;=90,"Xuất sắc",IF(F20&gt;=80,"Tốt",IF(F20&gt;=65,"Khá",IF(F20&gt;=50,"TB",""))))</f>
        <v/>
      </c>
      <c r="P20" s="98"/>
      <c r="Q20" s="98"/>
      <c r="R20" s="98" t="s">
        <v>83</v>
      </c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</row>
    <row r="21" customFormat="false" ht="25.5" hidden="false" customHeight="true" outlineLevel="0" collapsed="false">
      <c r="A21" s="111" t="n">
        <v>3</v>
      </c>
      <c r="B21" s="111"/>
      <c r="C21" s="46"/>
      <c r="D21" s="47"/>
      <c r="E21" s="48"/>
      <c r="F21" s="112"/>
      <c r="G21" s="112"/>
      <c r="H21" s="113"/>
      <c r="I21" s="114" t="str">
        <f aca="false">IF(H21&gt;=90,"Xuất sắc",IF(H21&gt;=80,"Tốt",IF(H21&gt;=65,"Khá",IF(H21&gt;=50,"TB",""))))</f>
        <v/>
      </c>
      <c r="J21" s="113"/>
      <c r="K21" s="114" t="str">
        <f aca="false">IF(J21&gt;=90,"Xuất sắc",IF(J21&gt;=80,"Tốt",IF(J21&gt;=65,"Khá",IF(J21&gt;=50,"TB",""))))</f>
        <v/>
      </c>
      <c r="L21" s="108" t="str">
        <f aca="false">K21</f>
        <v/>
      </c>
      <c r="M21" s="115" t="str">
        <f aca="false">IF(F21&gt;=90,"Xuất sắc",IF(F21&gt;=80,"Tốt",IF(F21&gt;=65,"Khá",IF(F21&gt;=50,"TB",""))))</f>
        <v/>
      </c>
      <c r="N21" s="116"/>
      <c r="O21" s="110" t="str">
        <f aca="false">IF(F21&gt;=90,"Xuất sắc",IF(F21&gt;=80,"Tốt",IF(F21&gt;=65,"Khá",IF(F21&gt;=50,"TB",""))))</f>
        <v/>
      </c>
      <c r="P21" s="98"/>
      <c r="Q21" s="98"/>
      <c r="R21" s="98" t="s">
        <v>84</v>
      </c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</row>
    <row r="22" customFormat="false" ht="25.5" hidden="false" customHeight="true" outlineLevel="0" collapsed="false">
      <c r="A22" s="111" t="n">
        <v>4</v>
      </c>
      <c r="B22" s="111"/>
      <c r="C22" s="46"/>
      <c r="D22" s="47"/>
      <c r="E22" s="48"/>
      <c r="F22" s="112"/>
      <c r="G22" s="112"/>
      <c r="H22" s="113"/>
      <c r="I22" s="114" t="str">
        <f aca="false">IF(H22&gt;=90,"Xuất sắc",IF(H22&gt;=80,"Tốt",IF(H22&gt;=65,"Khá",IF(H22&gt;=50,"TB",""))))</f>
        <v/>
      </c>
      <c r="J22" s="113"/>
      <c r="K22" s="114" t="str">
        <f aca="false">IF(J22&gt;=90,"Xuất sắc",IF(J22&gt;=80,"Tốt",IF(J22&gt;=65,"Khá",IF(J22&gt;=50,"TB",""))))</f>
        <v/>
      </c>
      <c r="L22" s="108" t="str">
        <f aca="false">K22</f>
        <v/>
      </c>
      <c r="M22" s="115" t="str">
        <f aca="false">IF(F22&gt;=90,"Xuất sắc",IF(F22&gt;=80,"Tốt",IF(F22&gt;=65,"Khá",IF(F22&gt;=50,"TB",""))))</f>
        <v/>
      </c>
      <c r="N22" s="116"/>
      <c r="O22" s="110" t="str">
        <f aca="false">IF(F22&gt;=90,"Xuất sắc",IF(F22&gt;=80,"Tốt",IF(F22&gt;=65,"Khá",IF(F22&gt;=50,"TB",""))))</f>
        <v/>
      </c>
      <c r="P22" s="98"/>
      <c r="Q22" s="98"/>
      <c r="R22" s="98" t="s">
        <v>85</v>
      </c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</row>
    <row r="23" customFormat="false" ht="25.5" hidden="false" customHeight="true" outlineLevel="0" collapsed="false">
      <c r="A23" s="111" t="n">
        <v>5</v>
      </c>
      <c r="B23" s="111"/>
      <c r="C23" s="46"/>
      <c r="D23" s="47"/>
      <c r="E23" s="48"/>
      <c r="F23" s="112"/>
      <c r="G23" s="112"/>
      <c r="H23" s="113"/>
      <c r="I23" s="114" t="str">
        <f aca="false">IF(H23&gt;=90,"Xuất sắc",IF(H23&gt;=80,"Tốt",IF(H23&gt;=65,"Khá",IF(H23&gt;=50,"TB",""))))</f>
        <v/>
      </c>
      <c r="J23" s="113"/>
      <c r="K23" s="114" t="str">
        <f aca="false">IF(J23&gt;=90,"Xuất sắc",IF(J23&gt;=80,"Tốt",IF(J23&gt;=65,"Khá",IF(J23&gt;=50,"TB",""))))</f>
        <v/>
      </c>
      <c r="L23" s="108" t="str">
        <f aca="false">K23</f>
        <v/>
      </c>
      <c r="M23" s="115" t="str">
        <f aca="false">IF(F23&gt;=90,"Xuất sắc",IF(F23&gt;=80,"Tốt",IF(F23&gt;=65,"Khá",IF(F23&gt;=50,"TB",""))))</f>
        <v/>
      </c>
      <c r="N23" s="116"/>
      <c r="O23" s="110" t="str">
        <f aca="false">IF(F23&gt;=90,"Xuất sắc",IF(F23&gt;=80,"Tốt",IF(F23&gt;=65,"Khá",IF(F23&gt;=50,"TB",""))))</f>
        <v/>
      </c>
      <c r="P23" s="98"/>
      <c r="Q23" s="98"/>
      <c r="R23" s="98" t="s">
        <v>86</v>
      </c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</row>
    <row r="24" customFormat="false" ht="25.5" hidden="false" customHeight="true" outlineLevel="0" collapsed="false">
      <c r="A24" s="111" t="n">
        <v>6</v>
      </c>
      <c r="B24" s="111"/>
      <c r="C24" s="46"/>
      <c r="D24" s="47"/>
      <c r="E24" s="48"/>
      <c r="F24" s="112"/>
      <c r="G24" s="112"/>
      <c r="H24" s="113"/>
      <c r="I24" s="114" t="str">
        <f aca="false">IF(H24&gt;=90,"Xuất sắc",IF(H24&gt;=80,"Tốt",IF(H24&gt;=65,"Khá",IF(H24&gt;=50,"TB",""))))</f>
        <v/>
      </c>
      <c r="J24" s="113"/>
      <c r="K24" s="114" t="str">
        <f aca="false">IF(J24&gt;=90,"Xuất sắc",IF(J24&gt;=80,"Tốt",IF(J24&gt;=65,"Khá",IF(J24&gt;=50,"TB",""))))</f>
        <v/>
      </c>
      <c r="L24" s="108" t="str">
        <f aca="false">K24</f>
        <v/>
      </c>
      <c r="M24" s="115" t="str">
        <f aca="false">IF(F24&gt;=90,"Xuất sắc",IF(F24&gt;=80,"Tốt",IF(F24&gt;=65,"Khá",IF(F24&gt;=50,"TB",""))))</f>
        <v/>
      </c>
      <c r="N24" s="116"/>
      <c r="O24" s="110" t="str">
        <f aca="false">IF(F24&gt;=90,"Xuất sắc",IF(F24&gt;=80,"Tốt",IF(F24&gt;=65,"Khá",IF(F24&gt;=50,"TB",""))))</f>
        <v/>
      </c>
      <c r="P24" s="98"/>
      <c r="Q24" s="98"/>
      <c r="R24" s="98" t="s">
        <v>87</v>
      </c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</row>
    <row r="25" customFormat="false" ht="25.5" hidden="false" customHeight="true" outlineLevel="0" collapsed="false">
      <c r="A25" s="111" t="n">
        <v>7</v>
      </c>
      <c r="B25" s="111"/>
      <c r="C25" s="46"/>
      <c r="D25" s="47"/>
      <c r="E25" s="48"/>
      <c r="F25" s="112"/>
      <c r="G25" s="112"/>
      <c r="H25" s="113"/>
      <c r="I25" s="114" t="str">
        <f aca="false">IF(H25&gt;=90,"Xuất sắc",IF(H25&gt;=80,"Tốt",IF(H25&gt;=65,"Khá",IF(H25&gt;=50,"TB",""))))</f>
        <v/>
      </c>
      <c r="J25" s="113"/>
      <c r="K25" s="114" t="str">
        <f aca="false">IF(J25&gt;=90,"Xuất sắc",IF(J25&gt;=80,"Tốt",IF(J25&gt;=65,"Khá",IF(J25&gt;=50,"TB",""))))</f>
        <v/>
      </c>
      <c r="L25" s="108" t="str">
        <f aca="false">K25</f>
        <v/>
      </c>
      <c r="M25" s="115" t="str">
        <f aca="false">IF(F25&gt;=90,"Xuất sắc",IF(F25&gt;=80,"Tốt",IF(F25&gt;=65,"Khá",IF(F25&gt;=50,"TB",""))))</f>
        <v/>
      </c>
      <c r="N25" s="116"/>
      <c r="O25" s="110" t="str">
        <f aca="false">IF(F25&gt;=90,"Xuất sắc",IF(F25&gt;=80,"Tốt",IF(F25&gt;=65,"Khá",IF(F25&gt;=50,"TB",""))))</f>
        <v/>
      </c>
      <c r="P25" s="98"/>
      <c r="Q25" s="98"/>
      <c r="R25" s="98" t="s">
        <v>81</v>
      </c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</row>
    <row r="26" customFormat="false" ht="25.5" hidden="false" customHeight="true" outlineLevel="0" collapsed="false">
      <c r="A26" s="111" t="n">
        <v>8</v>
      </c>
      <c r="B26" s="111"/>
      <c r="C26" s="46"/>
      <c r="D26" s="47"/>
      <c r="E26" s="48"/>
      <c r="F26" s="112"/>
      <c r="G26" s="112"/>
      <c r="H26" s="113"/>
      <c r="I26" s="114" t="str">
        <f aca="false">IF(H26&gt;=90,"Xuất sắc",IF(H26&gt;=80,"Tốt",IF(H26&gt;=65,"Khá",IF(H26&gt;=50,"TB",""))))</f>
        <v/>
      </c>
      <c r="J26" s="113"/>
      <c r="K26" s="114" t="str">
        <f aca="false">IF(J26&gt;=90,"Xuất sắc",IF(J26&gt;=80,"Tốt",IF(J26&gt;=65,"Khá",IF(J26&gt;=50,"TB",""))))</f>
        <v/>
      </c>
      <c r="L26" s="108" t="str">
        <f aca="false">K26</f>
        <v/>
      </c>
      <c r="M26" s="115" t="str">
        <f aca="false">IF(F26&gt;=90,"Xuất sắc",IF(F26&gt;=80,"Tốt",IF(F26&gt;=65,"Khá",IF(F26&gt;=50,"TB",""))))</f>
        <v/>
      </c>
      <c r="N26" s="116"/>
      <c r="O26" s="110" t="str">
        <f aca="false">IF(F26&gt;=90,"Xuất sắc",IF(F26&gt;=80,"Tốt",IF(F26&gt;=65,"Khá",IF(F26&gt;=50,"TB",""))))</f>
        <v/>
      </c>
      <c r="P26" s="98"/>
      <c r="Q26" s="98"/>
      <c r="R26" s="98" t="s">
        <v>88</v>
      </c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</row>
    <row r="27" customFormat="false" ht="25.5" hidden="false" customHeight="true" outlineLevel="0" collapsed="false">
      <c r="A27" s="111" t="n">
        <v>9</v>
      </c>
      <c r="B27" s="111"/>
      <c r="C27" s="46"/>
      <c r="D27" s="47"/>
      <c r="E27" s="48"/>
      <c r="F27" s="112"/>
      <c r="G27" s="112"/>
      <c r="H27" s="113"/>
      <c r="I27" s="114" t="str">
        <f aca="false">IF(H27&gt;=90,"Xuất sắc",IF(H27&gt;=80,"Tốt",IF(H27&gt;=65,"Khá",IF(H27&gt;=50,"TB",""))))</f>
        <v/>
      </c>
      <c r="J27" s="113"/>
      <c r="K27" s="114" t="str">
        <f aca="false">IF(J27&gt;=90,"Xuất sắc",IF(J27&gt;=80,"Tốt",IF(J27&gt;=65,"Khá",IF(J27&gt;=50,"TB",""))))</f>
        <v/>
      </c>
      <c r="L27" s="108" t="str">
        <f aca="false">K27</f>
        <v/>
      </c>
      <c r="M27" s="115" t="str">
        <f aca="false">IF(F27&gt;=90,"Xuất sắc",IF(F27&gt;=80,"Tốt",IF(F27&gt;=65,"Khá",IF(F27&gt;=50,"TB",""))))</f>
        <v/>
      </c>
      <c r="N27" s="116"/>
      <c r="O27" s="110" t="str">
        <f aca="false">IF(F27&gt;=90,"Xuất sắc",IF(F27&gt;=80,"Tốt",IF(F27&gt;=65,"Khá",IF(F27&gt;=50,"TB",""))))</f>
        <v/>
      </c>
      <c r="P27" s="98"/>
      <c r="Q27" s="98"/>
      <c r="R27" s="98" t="s">
        <v>89</v>
      </c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</row>
    <row r="28" customFormat="false" ht="25.5" hidden="false" customHeight="true" outlineLevel="0" collapsed="false">
      <c r="A28" s="111" t="n">
        <v>10</v>
      </c>
      <c r="B28" s="111"/>
      <c r="C28" s="46"/>
      <c r="D28" s="47"/>
      <c r="E28" s="48"/>
      <c r="F28" s="112"/>
      <c r="G28" s="112"/>
      <c r="H28" s="113"/>
      <c r="I28" s="114" t="str">
        <f aca="false">IF(H28&gt;=90,"Xuất sắc",IF(H28&gt;=80,"Tốt",IF(H28&gt;=65,"Khá",IF(H28&gt;=50,"TB",""))))</f>
        <v/>
      </c>
      <c r="J28" s="113"/>
      <c r="K28" s="114" t="str">
        <f aca="false">IF(J28&gt;=90,"Xuất sắc",IF(J28&gt;=80,"Tốt",IF(J28&gt;=65,"Khá",IF(J28&gt;=50,"TB",""))))</f>
        <v/>
      </c>
      <c r="L28" s="108" t="str">
        <f aca="false">K28</f>
        <v/>
      </c>
      <c r="M28" s="115" t="str">
        <f aca="false">IF(F28&gt;=90,"Xuất sắc",IF(F28&gt;=80,"Tốt",IF(F28&gt;=65,"Khá",IF(F28&gt;=50,"TB",""))))</f>
        <v/>
      </c>
      <c r="N28" s="116"/>
      <c r="O28" s="110" t="str">
        <f aca="false">IF(F28&gt;=90,"Xuất sắc",IF(F28&gt;=80,"Tốt",IF(F28&gt;=65,"Khá",IF(F28&gt;=50,"TB",""))))</f>
        <v/>
      </c>
      <c r="P28" s="98"/>
      <c r="Q28" s="98"/>
      <c r="R28" s="98" t="s">
        <v>90</v>
      </c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</row>
    <row r="29" customFormat="false" ht="25.5" hidden="false" customHeight="true" outlineLevel="0" collapsed="false">
      <c r="A29" s="111" t="n">
        <v>11</v>
      </c>
      <c r="B29" s="111"/>
      <c r="C29" s="46"/>
      <c r="D29" s="47"/>
      <c r="E29" s="48"/>
      <c r="F29" s="112"/>
      <c r="G29" s="112"/>
      <c r="H29" s="113"/>
      <c r="I29" s="114" t="str">
        <f aca="false">IF(H29&gt;=90,"Xuất sắc",IF(H29&gt;=80,"Tốt",IF(H29&gt;=65,"Khá",IF(H29&gt;=50,"TB",""))))</f>
        <v/>
      </c>
      <c r="J29" s="113"/>
      <c r="K29" s="114" t="str">
        <f aca="false">IF(J29&gt;=90,"Xuất sắc",IF(J29&gt;=80,"Tốt",IF(J29&gt;=65,"Khá",IF(J29&gt;=50,"TB",""))))</f>
        <v/>
      </c>
      <c r="L29" s="108" t="str">
        <f aca="false">K29</f>
        <v/>
      </c>
      <c r="M29" s="115" t="str">
        <f aca="false">IF(F29&gt;=90,"Xuất sắc",IF(F29&gt;=80,"Tốt",IF(F29&gt;=65,"Khá",IF(F29&gt;=50,"TB",""))))</f>
        <v/>
      </c>
      <c r="N29" s="116"/>
      <c r="O29" s="110" t="str">
        <f aca="false">IF(F29&gt;=90,"Xuất sắc",IF(F29&gt;=80,"Tốt",IF(F29&gt;=65,"Khá",IF(F29&gt;=50,"TB",""))))</f>
        <v/>
      </c>
      <c r="P29" s="98"/>
      <c r="Q29" s="98"/>
      <c r="R29" s="98" t="s">
        <v>91</v>
      </c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</row>
    <row r="30" customFormat="false" ht="25.5" hidden="false" customHeight="true" outlineLevel="0" collapsed="false">
      <c r="A30" s="111" t="n">
        <v>12</v>
      </c>
      <c r="B30" s="111"/>
      <c r="C30" s="46"/>
      <c r="D30" s="47"/>
      <c r="E30" s="48"/>
      <c r="F30" s="112"/>
      <c r="G30" s="112"/>
      <c r="H30" s="113"/>
      <c r="I30" s="114" t="str">
        <f aca="false">IF(H30&gt;=90,"Xuất sắc",IF(H30&gt;=80,"Tốt",IF(H30&gt;=65,"Khá",IF(H30&gt;=50,"TB",""))))</f>
        <v/>
      </c>
      <c r="J30" s="113"/>
      <c r="K30" s="114" t="str">
        <f aca="false">IF(J30&gt;=90,"Xuất sắc",IF(J30&gt;=80,"Tốt",IF(J30&gt;=65,"Khá",IF(J30&gt;=50,"TB",""))))</f>
        <v/>
      </c>
      <c r="L30" s="108" t="str">
        <f aca="false">K30</f>
        <v/>
      </c>
      <c r="M30" s="115" t="str">
        <f aca="false">IF(F30&gt;=90,"Xuất sắc",IF(F30&gt;=80,"Tốt",IF(F30&gt;=65,"Khá",IF(F30&gt;=50,"TB",""))))</f>
        <v/>
      </c>
      <c r="N30" s="116"/>
      <c r="O30" s="110" t="str">
        <f aca="false">IF(F30&gt;=90,"Xuất sắc",IF(F30&gt;=80,"Tốt",IF(F30&gt;=65,"Khá",IF(F30&gt;=50,"TB",""))))</f>
        <v/>
      </c>
      <c r="P30" s="98"/>
      <c r="Q30" s="98"/>
      <c r="R30" s="98" t="s">
        <v>92</v>
      </c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</row>
    <row r="31" customFormat="false" ht="25.5" hidden="false" customHeight="true" outlineLevel="0" collapsed="false">
      <c r="A31" s="111" t="n">
        <v>13</v>
      </c>
      <c r="B31" s="111"/>
      <c r="C31" s="46"/>
      <c r="D31" s="47"/>
      <c r="E31" s="48"/>
      <c r="F31" s="112"/>
      <c r="G31" s="112"/>
      <c r="H31" s="113"/>
      <c r="I31" s="114" t="str">
        <f aca="false">IF(H31&gt;=90,"Xuất sắc",IF(H31&gt;=80,"Tốt",IF(H31&gt;=65,"Khá",IF(H31&gt;=50,"TB",""))))</f>
        <v/>
      </c>
      <c r="J31" s="113"/>
      <c r="K31" s="114" t="str">
        <f aca="false">IF(J31&gt;=90,"Xuất sắc",IF(J31&gt;=80,"Tốt",IF(J31&gt;=65,"Khá",IF(J31&gt;=50,"TB",""))))</f>
        <v/>
      </c>
      <c r="L31" s="108" t="str">
        <f aca="false">K31</f>
        <v/>
      </c>
      <c r="M31" s="115" t="str">
        <f aca="false">IF(F31&gt;=90,"Xuất sắc",IF(F31&gt;=80,"Tốt",IF(F31&gt;=65,"Khá",IF(F31&gt;=50,"TB",""))))</f>
        <v/>
      </c>
      <c r="N31" s="116"/>
      <c r="O31" s="110" t="str">
        <f aca="false">IF(F31&gt;=90,"Xuất sắc",IF(F31&gt;=80,"Tốt",IF(F31&gt;=65,"Khá",IF(F31&gt;=50,"TB",""))))</f>
        <v/>
      </c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</row>
    <row r="32" customFormat="false" ht="25.5" hidden="false" customHeight="true" outlineLevel="0" collapsed="false">
      <c r="A32" s="111" t="n">
        <v>14</v>
      </c>
      <c r="B32" s="111"/>
      <c r="C32" s="46"/>
      <c r="D32" s="47"/>
      <c r="E32" s="48"/>
      <c r="F32" s="112"/>
      <c r="G32" s="112"/>
      <c r="H32" s="113"/>
      <c r="I32" s="114" t="str">
        <f aca="false">IF(H32&gt;=90,"Xuất sắc",IF(H32&gt;=80,"Tốt",IF(H32&gt;=65,"Khá",IF(H32&gt;=50,"TB",""))))</f>
        <v/>
      </c>
      <c r="J32" s="113"/>
      <c r="K32" s="114" t="str">
        <f aca="false">IF(J32&gt;=90,"Xuất sắc",IF(J32&gt;=80,"Tốt",IF(J32&gt;=65,"Khá",IF(J32&gt;=50,"TB",""))))</f>
        <v/>
      </c>
      <c r="L32" s="108" t="str">
        <f aca="false">K32</f>
        <v/>
      </c>
      <c r="M32" s="115" t="str">
        <f aca="false">IF(F32&gt;=90,"Xuất sắc",IF(F32&gt;=80,"Tốt",IF(F32&gt;=65,"Khá",IF(F32&gt;=50,"TB",""))))</f>
        <v/>
      </c>
      <c r="N32" s="116"/>
      <c r="O32" s="110" t="str">
        <f aca="false">IF(F32&gt;=90,"Xuất sắc",IF(F32&gt;=80,"Tốt",IF(F32&gt;=65,"Khá",IF(F32&gt;=50,"TB",""))))</f>
        <v/>
      </c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</row>
    <row r="33" customFormat="false" ht="25.5" hidden="false" customHeight="true" outlineLevel="0" collapsed="false">
      <c r="A33" s="111" t="n">
        <v>15</v>
      </c>
      <c r="B33" s="111"/>
      <c r="C33" s="46"/>
      <c r="D33" s="47"/>
      <c r="E33" s="48"/>
      <c r="F33" s="112"/>
      <c r="G33" s="112"/>
      <c r="H33" s="113"/>
      <c r="I33" s="114" t="str">
        <f aca="false">IF(H33&gt;=90,"Xuất sắc",IF(H33&gt;=80,"Tốt",IF(H33&gt;=65,"Khá",IF(H33&gt;=50,"TB",""))))</f>
        <v/>
      </c>
      <c r="J33" s="113"/>
      <c r="K33" s="114" t="str">
        <f aca="false">IF(J33&gt;=90,"Xuất sắc",IF(J33&gt;=80,"Tốt",IF(J33&gt;=65,"Khá",IF(J33&gt;=50,"TB",""))))</f>
        <v/>
      </c>
      <c r="L33" s="108" t="str">
        <f aca="false">K33</f>
        <v/>
      </c>
      <c r="M33" s="115" t="str">
        <f aca="false">IF(F33&gt;=90,"Xuất sắc",IF(F33&gt;=80,"Tốt",IF(F33&gt;=65,"Khá",IF(F33&gt;=50,"TB",""))))</f>
        <v/>
      </c>
      <c r="N33" s="116"/>
      <c r="O33" s="110" t="str">
        <f aca="false">IF(F33&gt;=90,"Xuất sắc",IF(F33&gt;=80,"Tốt",IF(F33&gt;=65,"Khá",IF(F33&gt;=50,"TB",""))))</f>
        <v/>
      </c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</row>
    <row r="34" customFormat="false" ht="25.5" hidden="false" customHeight="true" outlineLevel="0" collapsed="false">
      <c r="A34" s="111" t="n">
        <v>16</v>
      </c>
      <c r="B34" s="111"/>
      <c r="C34" s="46"/>
      <c r="D34" s="47"/>
      <c r="E34" s="48"/>
      <c r="F34" s="112"/>
      <c r="G34" s="112"/>
      <c r="H34" s="113"/>
      <c r="I34" s="114" t="str">
        <f aca="false">IF(H34&gt;=90,"Xuất sắc",IF(H34&gt;=80,"Tốt",IF(H34&gt;=65,"Khá",IF(H34&gt;=50,"TB",""))))</f>
        <v/>
      </c>
      <c r="J34" s="113"/>
      <c r="K34" s="114" t="str">
        <f aca="false">IF(J34&gt;=90,"Xuất sắc",IF(J34&gt;=80,"Tốt",IF(J34&gt;=65,"Khá",IF(J34&gt;=50,"TB",""))))</f>
        <v/>
      </c>
      <c r="L34" s="108" t="str">
        <f aca="false">K34</f>
        <v/>
      </c>
      <c r="M34" s="115" t="str">
        <f aca="false">IF(F34&gt;=90,"Xuất sắc",IF(F34&gt;=80,"Tốt",IF(F34&gt;=65,"Khá",IF(F34&gt;=50,"TB",""))))</f>
        <v/>
      </c>
      <c r="N34" s="116"/>
      <c r="O34" s="110" t="str">
        <f aca="false">IF(F34&gt;=90,"Xuất sắc",IF(F34&gt;=80,"Tốt",IF(F34&gt;=65,"Khá",IF(F34&gt;=50,"TB",""))))</f>
        <v/>
      </c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</row>
    <row r="35" customFormat="false" ht="25.5" hidden="false" customHeight="true" outlineLevel="0" collapsed="false">
      <c r="A35" s="111" t="n">
        <v>17</v>
      </c>
      <c r="B35" s="111"/>
      <c r="C35" s="46"/>
      <c r="D35" s="47"/>
      <c r="E35" s="48"/>
      <c r="F35" s="112"/>
      <c r="G35" s="112"/>
      <c r="H35" s="113"/>
      <c r="I35" s="114" t="str">
        <f aca="false">IF(H35&gt;=90,"Xuất sắc",IF(H35&gt;=80,"Tốt",IF(H35&gt;=65,"Khá",IF(H35&gt;=50,"TB",""))))</f>
        <v/>
      </c>
      <c r="J35" s="113"/>
      <c r="K35" s="114" t="str">
        <f aca="false">IF(J35&gt;=90,"Xuất sắc",IF(J35&gt;=80,"Tốt",IF(J35&gt;=65,"Khá",IF(J35&gt;=50,"TB",""))))</f>
        <v/>
      </c>
      <c r="L35" s="108" t="str">
        <f aca="false">K35</f>
        <v/>
      </c>
      <c r="M35" s="115" t="str">
        <f aca="false">IF(F35&gt;=90,"Xuất sắc",IF(F35&gt;=80,"Tốt",IF(F35&gt;=65,"Khá",IF(F35&gt;=50,"TB",""))))</f>
        <v/>
      </c>
      <c r="N35" s="116"/>
      <c r="O35" s="110" t="str">
        <f aca="false">IF(F35&gt;=90,"Xuất sắc",IF(F35&gt;=80,"Tốt",IF(F35&gt;=65,"Khá",IF(F35&gt;=50,"TB",""))))</f>
        <v/>
      </c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</row>
    <row r="36" customFormat="false" ht="25.5" hidden="false" customHeight="true" outlineLevel="0" collapsed="false">
      <c r="A36" s="111" t="n">
        <v>18</v>
      </c>
      <c r="B36" s="111"/>
      <c r="C36" s="46"/>
      <c r="D36" s="47"/>
      <c r="E36" s="48"/>
      <c r="F36" s="112"/>
      <c r="G36" s="112"/>
      <c r="H36" s="113"/>
      <c r="I36" s="114" t="str">
        <f aca="false">IF(H36&gt;=90,"Xuất sắc",IF(H36&gt;=80,"Tốt",IF(H36&gt;=65,"Khá",IF(H36&gt;=50,"TB",""))))</f>
        <v/>
      </c>
      <c r="J36" s="113"/>
      <c r="K36" s="114" t="str">
        <f aca="false">IF(J36&gt;=90,"Xuất sắc",IF(J36&gt;=80,"Tốt",IF(J36&gt;=65,"Khá",IF(J36&gt;=50,"TB",""))))</f>
        <v/>
      </c>
      <c r="L36" s="108" t="str">
        <f aca="false">K36</f>
        <v/>
      </c>
      <c r="M36" s="115" t="str">
        <f aca="false">IF(F36&gt;=90,"Xuất sắc",IF(F36&gt;=80,"Tốt",IF(F36&gt;=65,"Khá",IF(F36&gt;=50,"TB",""))))</f>
        <v/>
      </c>
      <c r="N36" s="116"/>
      <c r="O36" s="110" t="str">
        <f aca="false">IF(F36&gt;=90,"Xuất sắc",IF(F36&gt;=80,"Tốt",IF(F36&gt;=65,"Khá",IF(F36&gt;=50,"TB",""))))</f>
        <v/>
      </c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</row>
    <row r="37" customFormat="false" ht="25.5" hidden="false" customHeight="true" outlineLevel="0" collapsed="false">
      <c r="A37" s="111" t="n">
        <v>19</v>
      </c>
      <c r="B37" s="111"/>
      <c r="C37" s="117"/>
      <c r="D37" s="118"/>
      <c r="E37" s="119"/>
      <c r="F37" s="112"/>
      <c r="G37" s="112"/>
      <c r="H37" s="113"/>
      <c r="I37" s="114" t="str">
        <f aca="false">IF(H37&gt;=90,"Xuất sắc",IF(H37&gt;=80,"Tốt",IF(H37&gt;=65,"Khá",IF(H37&gt;=50,"TB",""))))</f>
        <v/>
      </c>
      <c r="J37" s="113"/>
      <c r="K37" s="114" t="str">
        <f aca="false">IF(J37&gt;=90,"Xuất sắc",IF(J37&gt;=80,"Tốt",IF(J37&gt;=65,"Khá",IF(J37&gt;=50,"TB",""))))</f>
        <v/>
      </c>
      <c r="L37" s="108" t="str">
        <f aca="false">K37</f>
        <v/>
      </c>
      <c r="M37" s="115" t="str">
        <f aca="false">IF(F37&gt;=90,"Xuất sắc",IF(F37&gt;=80,"Tốt",IF(F37&gt;=65,"Khá",IF(F37&gt;=50,"TB",""))))</f>
        <v/>
      </c>
      <c r="N37" s="116"/>
      <c r="O37" s="110" t="str">
        <f aca="false">IF(F37&gt;=90,"Xuất sắc",IF(F37&gt;=80,"Tốt",IF(F37&gt;=65,"Khá",IF(F37&gt;=50,"TB",""))))</f>
        <v/>
      </c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</row>
    <row r="38" customFormat="false" ht="25.5" hidden="false" customHeight="true" outlineLevel="0" collapsed="false">
      <c r="A38" s="111" t="n">
        <v>20</v>
      </c>
      <c r="B38" s="111"/>
      <c r="C38" s="46"/>
      <c r="D38" s="47"/>
      <c r="E38" s="48"/>
      <c r="F38" s="112"/>
      <c r="G38" s="112"/>
      <c r="H38" s="113"/>
      <c r="I38" s="114" t="str">
        <f aca="false">IF(H38&gt;=90,"Xuất sắc",IF(H38&gt;=80,"Tốt",IF(H38&gt;=65,"Khá",IF(H38&gt;=50,"TB",""))))</f>
        <v/>
      </c>
      <c r="J38" s="113"/>
      <c r="K38" s="114" t="str">
        <f aca="false">IF(J38&gt;=90,"Xuất sắc",IF(J38&gt;=80,"Tốt",IF(J38&gt;=65,"Khá",IF(J38&gt;=50,"TB",""))))</f>
        <v/>
      </c>
      <c r="L38" s="108" t="str">
        <f aca="false">K38</f>
        <v/>
      </c>
      <c r="M38" s="115" t="str">
        <f aca="false">IF(F38&gt;=90,"Xuất sắc",IF(F38&gt;=80,"Tốt",IF(F38&gt;=65,"Khá",IF(F38&gt;=50,"TB",""))))</f>
        <v/>
      </c>
      <c r="N38" s="116"/>
      <c r="O38" s="110" t="str">
        <f aca="false">IF(F38&gt;=90,"Xuất sắc",IF(F38&gt;=80,"Tốt",IF(F38&gt;=65,"Khá",IF(F38&gt;=50,"TB",""))))</f>
        <v/>
      </c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</row>
    <row r="39" customFormat="false" ht="25.5" hidden="false" customHeight="true" outlineLevel="0" collapsed="false">
      <c r="A39" s="111" t="n">
        <v>21</v>
      </c>
      <c r="B39" s="111"/>
      <c r="C39" s="46"/>
      <c r="D39" s="47"/>
      <c r="E39" s="48"/>
      <c r="F39" s="112"/>
      <c r="G39" s="112"/>
      <c r="H39" s="113"/>
      <c r="I39" s="114" t="str">
        <f aca="false">IF(H39&gt;=90,"Xuất sắc",IF(H39&gt;=80,"Tốt",IF(H39&gt;=65,"Khá",IF(H39&gt;=50,"TB",""))))</f>
        <v/>
      </c>
      <c r="J39" s="113"/>
      <c r="K39" s="114" t="str">
        <f aca="false">IF(J39&gt;=90,"Xuất sắc",IF(J39&gt;=80,"Tốt",IF(J39&gt;=65,"Khá",IF(J39&gt;=50,"TB",""))))</f>
        <v/>
      </c>
      <c r="L39" s="108" t="str">
        <f aca="false">K39</f>
        <v/>
      </c>
      <c r="M39" s="115" t="str">
        <f aca="false">IF(F39&gt;=90,"Xuất sắc",IF(F39&gt;=80,"Tốt",IF(F39&gt;=65,"Khá",IF(F39&gt;=50,"TB",""))))</f>
        <v/>
      </c>
      <c r="N39" s="116"/>
      <c r="O39" s="110" t="str">
        <f aca="false">IF(F39&gt;=90,"Xuất sắc",IF(F39&gt;=80,"Tốt",IF(F39&gt;=65,"Khá",IF(F39&gt;=50,"TB",""))))</f>
        <v/>
      </c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</row>
    <row r="40" customFormat="false" ht="25.5" hidden="false" customHeight="true" outlineLevel="0" collapsed="false">
      <c r="A40" s="111" t="n">
        <v>22</v>
      </c>
      <c r="B40" s="111"/>
      <c r="C40" s="46"/>
      <c r="D40" s="47"/>
      <c r="E40" s="48"/>
      <c r="F40" s="112"/>
      <c r="G40" s="112"/>
      <c r="H40" s="113"/>
      <c r="I40" s="114" t="str">
        <f aca="false">IF(H40&gt;=90,"Xuất sắc",IF(H40&gt;=80,"Tốt",IF(H40&gt;=65,"Khá",IF(H40&gt;=50,"TB",""))))</f>
        <v/>
      </c>
      <c r="J40" s="113"/>
      <c r="K40" s="114" t="str">
        <f aca="false">IF(J40&gt;=90,"Xuất sắc",IF(J40&gt;=80,"Tốt",IF(J40&gt;=65,"Khá",IF(J40&gt;=50,"TB",""))))</f>
        <v/>
      </c>
      <c r="L40" s="108" t="str">
        <f aca="false">K40</f>
        <v/>
      </c>
      <c r="M40" s="115" t="str">
        <f aca="false">IF(F40&gt;=90,"Xuất sắc",IF(F40&gt;=80,"Tốt",IF(F40&gt;=65,"Khá",IF(F40&gt;=50,"TB",""))))</f>
        <v/>
      </c>
      <c r="N40" s="116"/>
      <c r="O40" s="110" t="str">
        <f aca="false">IF(F40&gt;=90,"Xuất sắc",IF(F40&gt;=80,"Tốt",IF(F40&gt;=65,"Khá",IF(F40&gt;=50,"TB",""))))</f>
        <v/>
      </c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</row>
    <row r="41" customFormat="false" ht="25.5" hidden="false" customHeight="true" outlineLevel="0" collapsed="false">
      <c r="A41" s="111" t="n">
        <v>23</v>
      </c>
      <c r="B41" s="111"/>
      <c r="C41" s="46"/>
      <c r="D41" s="47"/>
      <c r="E41" s="48"/>
      <c r="F41" s="112"/>
      <c r="G41" s="112"/>
      <c r="H41" s="113"/>
      <c r="I41" s="114" t="str">
        <f aca="false">IF(H41&gt;=90,"Xuất sắc",IF(H41&gt;=80,"Tốt",IF(H41&gt;=65,"Khá",IF(H41&gt;=50,"TB",""))))</f>
        <v/>
      </c>
      <c r="J41" s="113"/>
      <c r="K41" s="114" t="str">
        <f aca="false">IF(J41&gt;=90,"Xuất sắc",IF(J41&gt;=80,"Tốt",IF(J41&gt;=65,"Khá",IF(J41&gt;=50,"TB",""))))</f>
        <v/>
      </c>
      <c r="L41" s="108" t="str">
        <f aca="false">K41</f>
        <v/>
      </c>
      <c r="M41" s="115" t="str">
        <f aca="false">IF(F41&gt;=90,"Xuất sắc",IF(F41&gt;=80,"Tốt",IF(F41&gt;=65,"Khá",IF(F41&gt;=50,"TB",""))))</f>
        <v/>
      </c>
      <c r="N41" s="116"/>
      <c r="O41" s="110" t="str">
        <f aca="false">IF(F41&gt;=90,"Xuất sắc",IF(F41&gt;=80,"Tốt",IF(F41&gt;=65,"Khá",IF(F41&gt;=50,"TB",""))))</f>
        <v/>
      </c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</row>
    <row r="42" customFormat="false" ht="25.5" hidden="false" customHeight="true" outlineLevel="0" collapsed="false">
      <c r="A42" s="111" t="n">
        <v>24</v>
      </c>
      <c r="B42" s="111"/>
      <c r="C42" s="46"/>
      <c r="D42" s="47"/>
      <c r="E42" s="48"/>
      <c r="F42" s="112"/>
      <c r="G42" s="112"/>
      <c r="H42" s="113"/>
      <c r="I42" s="114" t="str">
        <f aca="false">IF(H42&gt;=90,"Xuất sắc",IF(H42&gt;=80,"Tốt",IF(H42&gt;=65,"Khá",IF(H42&gt;=50,"TB",""))))</f>
        <v/>
      </c>
      <c r="J42" s="113"/>
      <c r="K42" s="114" t="str">
        <f aca="false">IF(J42&gt;=90,"Xuất sắc",IF(J42&gt;=80,"Tốt",IF(J42&gt;=65,"Khá",IF(J42&gt;=50,"TB",""))))</f>
        <v/>
      </c>
      <c r="L42" s="108" t="str">
        <f aca="false">K42</f>
        <v/>
      </c>
      <c r="M42" s="115" t="str">
        <f aca="false">IF(F42&gt;=90,"Xuất sắc",IF(F42&gt;=80,"Tốt",IF(F42&gt;=65,"Khá",IF(F42&gt;=50,"TB",""))))</f>
        <v/>
      </c>
      <c r="N42" s="116"/>
      <c r="O42" s="110" t="str">
        <f aca="false">IF(F42&gt;=90,"Xuất sắc",IF(F42&gt;=80,"Tốt",IF(F42&gt;=65,"Khá",IF(F42&gt;=50,"TB",""))))</f>
        <v/>
      </c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</row>
    <row r="43" customFormat="false" ht="25.5" hidden="false" customHeight="true" outlineLevel="0" collapsed="false">
      <c r="A43" s="111" t="n">
        <v>25</v>
      </c>
      <c r="B43" s="111"/>
      <c r="C43" s="46"/>
      <c r="D43" s="47"/>
      <c r="E43" s="48"/>
      <c r="F43" s="112"/>
      <c r="G43" s="112"/>
      <c r="H43" s="113"/>
      <c r="I43" s="114" t="str">
        <f aca="false">IF(H43&gt;=90,"Xuất sắc",IF(H43&gt;=80,"Tốt",IF(H43&gt;=65,"Khá",IF(H43&gt;=50,"TB",""))))</f>
        <v/>
      </c>
      <c r="J43" s="113"/>
      <c r="K43" s="114" t="str">
        <f aca="false">IF(J43&gt;=90,"Xuất sắc",IF(J43&gt;=80,"Tốt",IF(J43&gt;=65,"Khá",IF(J43&gt;=50,"TB",""))))</f>
        <v/>
      </c>
      <c r="L43" s="108" t="str">
        <f aca="false">K43</f>
        <v/>
      </c>
      <c r="M43" s="115" t="str">
        <f aca="false">IF(F43&gt;=90,"Xuất sắc",IF(F43&gt;=80,"Tốt",IF(F43&gt;=65,"Khá",IF(F43&gt;=50,"TB",""))))</f>
        <v/>
      </c>
      <c r="N43" s="116"/>
      <c r="O43" s="110" t="str">
        <f aca="false">IF(F43&gt;=90,"Xuất sắc",IF(F43&gt;=80,"Tốt",IF(F43&gt;=65,"Khá",IF(F43&gt;=50,"TB",""))))</f>
        <v/>
      </c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</row>
    <row r="44" customFormat="false" ht="25.5" hidden="false" customHeight="true" outlineLevel="0" collapsed="false">
      <c r="A44" s="111" t="n">
        <v>26</v>
      </c>
      <c r="B44" s="111"/>
      <c r="C44" s="46"/>
      <c r="D44" s="47"/>
      <c r="E44" s="48"/>
      <c r="F44" s="112"/>
      <c r="G44" s="112"/>
      <c r="H44" s="113"/>
      <c r="I44" s="114" t="str">
        <f aca="false">IF(H44&gt;=90,"Xuất sắc",IF(H44&gt;=80,"Tốt",IF(H44&gt;=65,"Khá",IF(H44&gt;=50,"TB",""))))</f>
        <v/>
      </c>
      <c r="J44" s="113"/>
      <c r="K44" s="114" t="str">
        <f aca="false">IF(J44&gt;=90,"Xuất sắc",IF(J44&gt;=80,"Tốt",IF(J44&gt;=65,"Khá",IF(J44&gt;=50,"TB",""))))</f>
        <v/>
      </c>
      <c r="L44" s="108" t="str">
        <f aca="false">K44</f>
        <v/>
      </c>
      <c r="M44" s="115" t="str">
        <f aca="false">IF(F44&gt;=90,"Xuất sắc",IF(F44&gt;=80,"Tốt",IF(F44&gt;=65,"Khá",IF(F44&gt;=50,"TB",""))))</f>
        <v/>
      </c>
      <c r="N44" s="116"/>
      <c r="O44" s="110" t="str">
        <f aca="false">IF(F44&gt;=90,"Xuất sắc",IF(F44&gt;=80,"Tốt",IF(F44&gt;=65,"Khá",IF(F44&gt;=50,"TB",""))))</f>
        <v/>
      </c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</row>
    <row r="45" customFormat="false" ht="25.5" hidden="false" customHeight="true" outlineLevel="0" collapsed="false">
      <c r="A45" s="111" t="n">
        <v>27</v>
      </c>
      <c r="B45" s="111"/>
      <c r="C45" s="46"/>
      <c r="D45" s="47"/>
      <c r="E45" s="48"/>
      <c r="F45" s="112"/>
      <c r="G45" s="112"/>
      <c r="H45" s="113"/>
      <c r="I45" s="114" t="str">
        <f aca="false">IF(H45&gt;=90,"Xuất sắc",IF(H45&gt;=80,"Tốt",IF(H45&gt;=65,"Khá",IF(H45&gt;=50,"TB",""))))</f>
        <v/>
      </c>
      <c r="J45" s="113"/>
      <c r="K45" s="114" t="str">
        <f aca="false">IF(J45&gt;=90,"Xuất sắc",IF(J45&gt;=80,"Tốt",IF(J45&gt;=65,"Khá",IF(J45&gt;=50,"TB",""))))</f>
        <v/>
      </c>
      <c r="L45" s="108" t="str">
        <f aca="false">K45</f>
        <v/>
      </c>
      <c r="M45" s="115" t="str">
        <f aca="false">IF(F45&gt;=90,"Xuất sắc",IF(F45&gt;=80,"Tốt",IF(F45&gt;=65,"Khá",IF(F45&gt;=50,"TB",""))))</f>
        <v/>
      </c>
      <c r="N45" s="116"/>
      <c r="O45" s="110" t="str">
        <f aca="false">IF(F45&gt;=90,"Xuất sắc",IF(F45&gt;=80,"Tốt",IF(F45&gt;=65,"Khá",IF(F45&gt;=50,"TB",""))))</f>
        <v/>
      </c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</row>
    <row r="46" customFormat="false" ht="25.5" hidden="false" customHeight="true" outlineLevel="0" collapsed="false">
      <c r="A46" s="111" t="n">
        <v>28</v>
      </c>
      <c r="B46" s="111"/>
      <c r="C46" s="46"/>
      <c r="D46" s="47"/>
      <c r="E46" s="48"/>
      <c r="F46" s="112"/>
      <c r="G46" s="112"/>
      <c r="H46" s="113"/>
      <c r="I46" s="114" t="str">
        <f aca="false">IF(H46&gt;=90,"Xuất sắc",IF(H46&gt;=80,"Tốt",IF(H46&gt;=65,"Khá",IF(H46&gt;=50,"TB",""))))</f>
        <v/>
      </c>
      <c r="J46" s="113"/>
      <c r="K46" s="114" t="str">
        <f aca="false">IF(J46&gt;=90,"Xuất sắc",IF(J46&gt;=80,"Tốt",IF(J46&gt;=65,"Khá",IF(J46&gt;=50,"TB",""))))</f>
        <v/>
      </c>
      <c r="L46" s="108" t="str">
        <f aca="false">K46</f>
        <v/>
      </c>
      <c r="M46" s="115" t="str">
        <f aca="false">IF(F46&gt;=90,"Xuất sắc",IF(F46&gt;=80,"Tốt",IF(F46&gt;=65,"Khá",IF(F46&gt;=50,"TB",""))))</f>
        <v/>
      </c>
      <c r="N46" s="116"/>
      <c r="O46" s="110" t="str">
        <f aca="false">IF(F46&gt;=90,"Xuất sắc",IF(F46&gt;=80,"Tốt",IF(F46&gt;=65,"Khá",IF(F46&gt;=50,"TB",""))))</f>
        <v/>
      </c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</row>
    <row r="47" customFormat="false" ht="25.5" hidden="false" customHeight="true" outlineLevel="0" collapsed="false">
      <c r="A47" s="111" t="n">
        <v>29</v>
      </c>
      <c r="B47" s="111"/>
      <c r="C47" s="46"/>
      <c r="D47" s="47"/>
      <c r="E47" s="48"/>
      <c r="F47" s="112"/>
      <c r="G47" s="112"/>
      <c r="H47" s="113"/>
      <c r="I47" s="114" t="str">
        <f aca="false">IF(H47&gt;=90,"Xuất sắc",IF(H47&gt;=80,"Tốt",IF(H47&gt;=65,"Khá",IF(H47&gt;=50,"TB",""))))</f>
        <v/>
      </c>
      <c r="J47" s="113"/>
      <c r="K47" s="114" t="str">
        <f aca="false">IF(J47&gt;=90,"Xuất sắc",IF(J47&gt;=80,"Tốt",IF(J47&gt;=65,"Khá",IF(J47&gt;=50,"TB",""))))</f>
        <v/>
      </c>
      <c r="L47" s="108" t="str">
        <f aca="false">K47</f>
        <v/>
      </c>
      <c r="M47" s="115" t="str">
        <f aca="false">IF(F47&gt;=90,"Xuất sắc",IF(F47&gt;=80,"Tốt",IF(F47&gt;=65,"Khá",IF(F47&gt;=50,"TB",""))))</f>
        <v/>
      </c>
      <c r="N47" s="116"/>
      <c r="O47" s="110" t="str">
        <f aca="false">IF(F47&gt;=90,"Xuất sắc",IF(F47&gt;=80,"Tốt",IF(F47&gt;=65,"Khá",IF(F47&gt;=50,"TB",""))))</f>
        <v/>
      </c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</row>
    <row r="48" customFormat="false" ht="25.5" hidden="false" customHeight="true" outlineLevel="0" collapsed="false">
      <c r="A48" s="111" t="n">
        <v>30</v>
      </c>
      <c r="B48" s="111"/>
      <c r="C48" s="46"/>
      <c r="D48" s="47"/>
      <c r="E48" s="48"/>
      <c r="F48" s="112"/>
      <c r="G48" s="112"/>
      <c r="H48" s="113"/>
      <c r="I48" s="114" t="str">
        <f aca="false">IF(H48&gt;=90,"Xuất sắc",IF(H48&gt;=80,"Tốt",IF(H48&gt;=65,"Khá",IF(H48&gt;=50,"TB",""))))</f>
        <v/>
      </c>
      <c r="J48" s="113"/>
      <c r="K48" s="114" t="str">
        <f aca="false">IF(J48&gt;=90,"Xuất sắc",IF(J48&gt;=80,"Tốt",IF(J48&gt;=65,"Khá",IF(J48&gt;=50,"TB",""))))</f>
        <v/>
      </c>
      <c r="L48" s="108" t="str">
        <f aca="false">K48</f>
        <v/>
      </c>
      <c r="M48" s="115" t="str">
        <f aca="false">IF(F48&gt;=90,"Xuất sắc",IF(F48&gt;=80,"Tốt",IF(F48&gt;=65,"Khá",IF(F48&gt;=50,"TB",""))))</f>
        <v/>
      </c>
      <c r="N48" s="116"/>
      <c r="O48" s="110" t="str">
        <f aca="false">IF(F48&gt;=90,"Xuất sắc",IF(F48&gt;=80,"Tốt",IF(F48&gt;=65,"Khá",IF(F48&gt;=50,"TB",""))))</f>
        <v/>
      </c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</row>
    <row r="49" customFormat="false" ht="25.5" hidden="false" customHeight="true" outlineLevel="0" collapsed="false">
      <c r="A49" s="111" t="n">
        <v>31</v>
      </c>
      <c r="B49" s="111"/>
      <c r="C49" s="46"/>
      <c r="D49" s="47"/>
      <c r="E49" s="48"/>
      <c r="F49" s="112"/>
      <c r="G49" s="112"/>
      <c r="H49" s="113"/>
      <c r="I49" s="114" t="str">
        <f aca="false">IF(H49&gt;=90,"Xuất sắc",IF(H49&gt;=80,"Tốt",IF(H49&gt;=65,"Khá",IF(H49&gt;=50,"TB",""))))</f>
        <v/>
      </c>
      <c r="J49" s="113"/>
      <c r="K49" s="114" t="str">
        <f aca="false">IF(J49&gt;=90,"Xuất sắc",IF(J49&gt;=80,"Tốt",IF(J49&gt;=65,"Khá",IF(J49&gt;=50,"TB",""))))</f>
        <v/>
      </c>
      <c r="L49" s="108" t="str">
        <f aca="false">K49</f>
        <v/>
      </c>
      <c r="M49" s="115" t="str">
        <f aca="false">IF(F49&gt;=90,"Xuất sắc",IF(F49&gt;=80,"Tốt",IF(F49&gt;=65,"Khá",IF(F49&gt;=50,"TB",""))))</f>
        <v/>
      </c>
      <c r="N49" s="116"/>
      <c r="O49" s="110" t="str">
        <f aca="false">IF(F49&gt;=90,"Xuất sắc",IF(F49&gt;=80,"Tốt",IF(F49&gt;=65,"Khá",IF(F49&gt;=50,"TB",""))))</f>
        <v/>
      </c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</row>
    <row r="50" customFormat="false" ht="25.5" hidden="false" customHeight="true" outlineLevel="0" collapsed="false">
      <c r="A50" s="111" t="n">
        <v>32</v>
      </c>
      <c r="B50" s="111"/>
      <c r="C50" s="46"/>
      <c r="D50" s="47"/>
      <c r="E50" s="48"/>
      <c r="F50" s="112"/>
      <c r="G50" s="112"/>
      <c r="H50" s="113"/>
      <c r="I50" s="114" t="str">
        <f aca="false">IF(H50&gt;=90,"Xuất sắc",IF(H50&gt;=80,"Tốt",IF(H50&gt;=65,"Khá",IF(H50&gt;=50,"TB",""))))</f>
        <v/>
      </c>
      <c r="J50" s="113"/>
      <c r="K50" s="114" t="str">
        <f aca="false">IF(J50&gt;=90,"Xuất sắc",IF(J50&gt;=80,"Tốt",IF(J50&gt;=65,"Khá",IF(J50&gt;=50,"TB",""))))</f>
        <v/>
      </c>
      <c r="L50" s="108" t="str">
        <f aca="false">K50</f>
        <v/>
      </c>
      <c r="M50" s="115" t="str">
        <f aca="false">IF(F50&gt;=90,"Xuất sắc",IF(F50&gt;=80,"Tốt",IF(F50&gt;=65,"Khá",IF(F50&gt;=50,"TB",""))))</f>
        <v/>
      </c>
      <c r="N50" s="116"/>
      <c r="O50" s="110" t="str">
        <f aca="false">IF(F50&gt;=90,"Xuất sắc",IF(F50&gt;=80,"Tốt",IF(F50&gt;=65,"Khá",IF(F50&gt;=50,"TB",""))))</f>
        <v/>
      </c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</row>
    <row r="51" customFormat="false" ht="25.5" hidden="false" customHeight="true" outlineLevel="0" collapsed="false">
      <c r="A51" s="111" t="n">
        <v>33</v>
      </c>
      <c r="B51" s="111"/>
      <c r="C51" s="46"/>
      <c r="D51" s="47"/>
      <c r="E51" s="48"/>
      <c r="F51" s="112"/>
      <c r="G51" s="112"/>
      <c r="H51" s="113"/>
      <c r="I51" s="114" t="str">
        <f aca="false">IF(H51&gt;=90,"Xuất sắc",IF(H51&gt;=80,"Tốt",IF(H51&gt;=65,"Khá",IF(H51&gt;=50,"TB",""))))</f>
        <v/>
      </c>
      <c r="J51" s="113"/>
      <c r="K51" s="114" t="str">
        <f aca="false">IF(J51&gt;=90,"Xuất sắc",IF(J51&gt;=80,"Tốt",IF(J51&gt;=65,"Khá",IF(J51&gt;=50,"TB",""))))</f>
        <v/>
      </c>
      <c r="L51" s="108" t="str">
        <f aca="false">K51</f>
        <v/>
      </c>
      <c r="M51" s="115" t="str">
        <f aca="false">IF(F51&gt;=90,"Xuất sắc",IF(F51&gt;=80,"Tốt",IF(F51&gt;=65,"Khá",IF(F51&gt;=50,"TB",""))))</f>
        <v/>
      </c>
      <c r="N51" s="116"/>
      <c r="O51" s="110" t="str">
        <f aca="false">IF(F51&gt;=90,"Xuất sắc",IF(F51&gt;=80,"Tốt",IF(F51&gt;=65,"Khá",IF(F51&gt;=50,"TB",""))))</f>
        <v/>
      </c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</row>
    <row r="52" customFormat="false" ht="25.5" hidden="false" customHeight="true" outlineLevel="0" collapsed="false">
      <c r="A52" s="111" t="n">
        <v>34</v>
      </c>
      <c r="B52" s="111"/>
      <c r="C52" s="46"/>
      <c r="D52" s="47"/>
      <c r="E52" s="48"/>
      <c r="F52" s="112"/>
      <c r="G52" s="112"/>
      <c r="H52" s="113"/>
      <c r="I52" s="114" t="str">
        <f aca="false">IF(H52&gt;=90,"Xuất sắc",IF(H52&gt;=80,"Tốt",IF(H52&gt;=65,"Khá",IF(H52&gt;=50,"TB",""))))</f>
        <v/>
      </c>
      <c r="J52" s="113"/>
      <c r="K52" s="114" t="str">
        <f aca="false">IF(J52&gt;=90,"Xuất sắc",IF(J52&gt;=80,"Tốt",IF(J52&gt;=65,"Khá",IF(J52&gt;=50,"TB",""))))</f>
        <v/>
      </c>
      <c r="L52" s="108" t="str">
        <f aca="false">K52</f>
        <v/>
      </c>
      <c r="M52" s="115" t="str">
        <f aca="false">IF(F52&gt;=90,"Xuất sắc",IF(F52&gt;=80,"Tốt",IF(F52&gt;=65,"Khá",IF(F52&gt;=50,"TB",""))))</f>
        <v/>
      </c>
      <c r="N52" s="116"/>
      <c r="O52" s="110" t="str">
        <f aca="false">IF(F52&gt;=90,"Xuất sắc",IF(F52&gt;=80,"Tốt",IF(F52&gt;=65,"Khá",IF(F52&gt;=50,"TB",""))))</f>
        <v/>
      </c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</row>
    <row r="53" customFormat="false" ht="25.5" hidden="false" customHeight="true" outlineLevel="0" collapsed="false">
      <c r="A53" s="111" t="n">
        <v>35</v>
      </c>
      <c r="B53" s="111"/>
      <c r="C53" s="55"/>
      <c r="D53" s="120"/>
      <c r="E53" s="119"/>
      <c r="F53" s="112"/>
      <c r="G53" s="112"/>
      <c r="H53" s="113"/>
      <c r="I53" s="114" t="str">
        <f aca="false">IF(H53&gt;=90,"Xuất sắc",IF(H53&gt;=80,"Tốt",IF(H53&gt;=65,"Khá",IF(H53&gt;=50,"TB",""))))</f>
        <v/>
      </c>
      <c r="J53" s="113"/>
      <c r="K53" s="114" t="str">
        <f aca="false">IF(J53&gt;=90,"Xuất sắc",IF(J53&gt;=80,"Tốt",IF(J53&gt;=65,"Khá",IF(J53&gt;=50,"TB",""))))</f>
        <v/>
      </c>
      <c r="L53" s="108" t="str">
        <f aca="false">K53</f>
        <v/>
      </c>
      <c r="M53" s="115" t="str">
        <f aca="false">IF(F53&gt;=90,"Xuất sắc",IF(F53&gt;=80,"Tốt",IF(F53&gt;=65,"Khá",IF(F53&gt;=50,"TB",""))))</f>
        <v/>
      </c>
      <c r="N53" s="116"/>
      <c r="O53" s="110" t="str">
        <f aca="false">IF(F53&gt;=90,"Xuất sắc",IF(F53&gt;=80,"Tốt",IF(F53&gt;=65,"Khá",IF(F53&gt;=50,"TB",""))))</f>
        <v/>
      </c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</row>
    <row r="54" customFormat="false" ht="25.5" hidden="false" customHeight="true" outlineLevel="0" collapsed="false">
      <c r="A54" s="111" t="n">
        <v>36</v>
      </c>
      <c r="B54" s="111"/>
      <c r="C54" s="55"/>
      <c r="D54" s="47"/>
      <c r="E54" s="119"/>
      <c r="F54" s="112"/>
      <c r="G54" s="112"/>
      <c r="H54" s="113"/>
      <c r="I54" s="114" t="str">
        <f aca="false">IF(H54&gt;=90,"Xuất sắc",IF(H54&gt;=80,"Tốt",IF(H54&gt;=65,"Khá",IF(H54&gt;=50,"TB",""))))</f>
        <v/>
      </c>
      <c r="J54" s="113"/>
      <c r="K54" s="114" t="str">
        <f aca="false">IF(J54&gt;=90,"Xuất sắc",IF(J54&gt;=80,"Tốt",IF(J54&gt;=65,"Khá",IF(J54&gt;=50,"TB",""))))</f>
        <v/>
      </c>
      <c r="L54" s="108" t="str">
        <f aca="false">K54</f>
        <v/>
      </c>
      <c r="M54" s="115" t="str">
        <f aca="false">IF(F54&gt;=90,"Xuất sắc",IF(F54&gt;=80,"Tốt",IF(F54&gt;=65,"Khá",IF(F54&gt;=50,"TB",""))))</f>
        <v/>
      </c>
      <c r="N54" s="116"/>
      <c r="O54" s="110" t="str">
        <f aca="false">IF(F54&gt;=90,"Xuất sắc",IF(F54&gt;=80,"Tốt",IF(F54&gt;=65,"Khá",IF(F54&gt;=50,"TB",""))))</f>
        <v/>
      </c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</row>
    <row r="55" customFormat="false" ht="25.5" hidden="false" customHeight="true" outlineLevel="0" collapsed="false">
      <c r="A55" s="111" t="n">
        <v>37</v>
      </c>
      <c r="B55" s="111"/>
      <c r="C55" s="46"/>
      <c r="D55" s="47"/>
      <c r="E55" s="48"/>
      <c r="F55" s="112"/>
      <c r="G55" s="112"/>
      <c r="H55" s="113"/>
      <c r="I55" s="114" t="str">
        <f aca="false">IF(H55&gt;=90,"Xuất sắc",IF(H55&gt;=80,"Tốt",IF(H55&gt;=65,"Khá",IF(H55&gt;=50,"TB",""))))</f>
        <v/>
      </c>
      <c r="J55" s="113"/>
      <c r="K55" s="114" t="str">
        <f aca="false">IF(J55&gt;=90,"Xuất sắc",IF(J55&gt;=80,"Tốt",IF(J55&gt;=65,"Khá",IF(J55&gt;=50,"TB",""))))</f>
        <v/>
      </c>
      <c r="L55" s="108" t="str">
        <f aca="false">K55</f>
        <v/>
      </c>
      <c r="M55" s="115" t="str">
        <f aca="false">IF(F55&gt;=90,"Xuất sắc",IF(F55&gt;=80,"Tốt",IF(F55&gt;=65,"Khá",IF(F55&gt;=50,"TB",""))))</f>
        <v/>
      </c>
      <c r="N55" s="116"/>
      <c r="O55" s="110" t="str">
        <f aca="false">IF(F55&gt;=90,"Xuất sắc",IF(F55&gt;=80,"Tốt",IF(F55&gt;=65,"Khá",IF(F55&gt;=50,"TB",""))))</f>
        <v/>
      </c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</row>
    <row r="56" customFormat="false" ht="25.5" hidden="false" customHeight="true" outlineLevel="0" collapsed="false">
      <c r="A56" s="111" t="n">
        <v>38</v>
      </c>
      <c r="B56" s="111"/>
      <c r="C56" s="46"/>
      <c r="D56" s="47"/>
      <c r="E56" s="48"/>
      <c r="F56" s="112"/>
      <c r="G56" s="112"/>
      <c r="H56" s="113"/>
      <c r="I56" s="114" t="str">
        <f aca="false">IF(H56&gt;=90,"Xuất sắc",IF(H56&gt;=80,"Tốt",IF(H56&gt;=65,"Khá",IF(H56&gt;=50,"TB",""))))</f>
        <v/>
      </c>
      <c r="J56" s="113"/>
      <c r="K56" s="114" t="str">
        <f aca="false">IF(J56&gt;=90,"Xuất sắc",IF(J56&gt;=80,"Tốt",IF(J56&gt;=65,"Khá",IF(J56&gt;=50,"TB",""))))</f>
        <v/>
      </c>
      <c r="L56" s="108" t="str">
        <f aca="false">K56</f>
        <v/>
      </c>
      <c r="M56" s="115" t="str">
        <f aca="false">IF(F56&gt;=90,"Xuất sắc",IF(F56&gt;=80,"Tốt",IF(F56&gt;=65,"Khá",IF(F56&gt;=50,"TB",""))))</f>
        <v/>
      </c>
      <c r="N56" s="116"/>
      <c r="O56" s="110" t="str">
        <f aca="false">IF(F56&gt;=90,"Xuất sắc",IF(F56&gt;=80,"Tốt",IF(F56&gt;=65,"Khá",IF(F56&gt;=50,"TB",""))))</f>
        <v/>
      </c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</row>
    <row r="57" customFormat="false" ht="25.5" hidden="false" customHeight="true" outlineLevel="0" collapsed="false">
      <c r="A57" s="111" t="n">
        <v>39</v>
      </c>
      <c r="B57" s="111"/>
      <c r="C57" s="46"/>
      <c r="D57" s="47"/>
      <c r="E57" s="48"/>
      <c r="F57" s="112"/>
      <c r="G57" s="112"/>
      <c r="H57" s="113"/>
      <c r="I57" s="114" t="str">
        <f aca="false">IF(H57&gt;=90,"Xuất sắc",IF(H57&gt;=80,"Tốt",IF(H57&gt;=65,"Khá",IF(H57&gt;=50,"TB",""))))</f>
        <v/>
      </c>
      <c r="J57" s="113"/>
      <c r="K57" s="114" t="str">
        <f aca="false">IF(J57&gt;=90,"Xuất sắc",IF(J57&gt;=80,"Tốt",IF(J57&gt;=65,"Khá",IF(J57&gt;=50,"TB",""))))</f>
        <v/>
      </c>
      <c r="L57" s="108" t="str">
        <f aca="false">K57</f>
        <v/>
      </c>
      <c r="M57" s="115" t="str">
        <f aca="false">IF(F57&gt;=90,"Xuất sắc",IF(F57&gt;=80,"Tốt",IF(F57&gt;=65,"Khá",IF(F57&gt;=50,"TB",""))))</f>
        <v/>
      </c>
      <c r="N57" s="116"/>
      <c r="O57" s="110" t="str">
        <f aca="false">IF(F57&gt;=90,"Xuất sắc",IF(F57&gt;=80,"Tốt",IF(F57&gt;=65,"Khá",IF(F57&gt;=50,"TB",""))))</f>
        <v/>
      </c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</row>
    <row r="58" customFormat="false" ht="25.5" hidden="false" customHeight="true" outlineLevel="0" collapsed="false">
      <c r="A58" s="111" t="n">
        <v>40</v>
      </c>
      <c r="B58" s="111"/>
      <c r="C58" s="46"/>
      <c r="D58" s="47"/>
      <c r="E58" s="48"/>
      <c r="F58" s="112"/>
      <c r="G58" s="112"/>
      <c r="H58" s="113"/>
      <c r="I58" s="114" t="str">
        <f aca="false">IF(H58&gt;=90,"Xuất sắc",IF(H58&gt;=80,"Tốt",IF(H58&gt;=65,"Khá",IF(H58&gt;=50,"TB",""))))</f>
        <v/>
      </c>
      <c r="J58" s="113"/>
      <c r="K58" s="114" t="str">
        <f aca="false">IF(J58&gt;=90,"Xuất sắc",IF(J58&gt;=80,"Tốt",IF(J58&gt;=65,"Khá",IF(J58&gt;=50,"TB",""))))</f>
        <v/>
      </c>
      <c r="L58" s="108" t="str">
        <f aca="false">K58</f>
        <v/>
      </c>
      <c r="M58" s="115" t="str">
        <f aca="false">IF(F58&gt;=90,"Xuất sắc",IF(F58&gt;=80,"Tốt",IF(F58&gt;=65,"Khá",IF(F58&gt;=50,"TB",""))))</f>
        <v/>
      </c>
      <c r="N58" s="116"/>
      <c r="O58" s="110" t="str">
        <f aca="false">IF(F58&gt;=90,"Xuất sắc",IF(F58&gt;=80,"Tốt",IF(F58&gt;=65,"Khá",IF(F58&gt;=50,"TB",""))))</f>
        <v/>
      </c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</row>
    <row r="59" customFormat="false" ht="25.5" hidden="false" customHeight="true" outlineLevel="0" collapsed="false">
      <c r="A59" s="111" t="n">
        <v>41</v>
      </c>
      <c r="B59" s="111"/>
      <c r="C59" s="46"/>
      <c r="D59" s="47"/>
      <c r="E59" s="48"/>
      <c r="F59" s="112"/>
      <c r="G59" s="112"/>
      <c r="H59" s="113"/>
      <c r="I59" s="114" t="str">
        <f aca="false">IF(H59&gt;=90,"Xuất sắc",IF(H59&gt;=80,"Tốt",IF(H59&gt;=65,"Khá",IF(H59&gt;=50,"TB",""))))</f>
        <v/>
      </c>
      <c r="J59" s="113"/>
      <c r="K59" s="114" t="str">
        <f aca="false">IF(J59&gt;=90,"Xuất sắc",IF(J59&gt;=80,"Tốt",IF(J59&gt;=65,"Khá",IF(J59&gt;=50,"TB",""))))</f>
        <v/>
      </c>
      <c r="L59" s="108" t="str">
        <f aca="false">K59</f>
        <v/>
      </c>
      <c r="M59" s="115" t="str">
        <f aca="false">IF(F59&gt;=90,"Xuất sắc",IF(F59&gt;=80,"Tốt",IF(F59&gt;=65,"Khá",IF(F59&gt;=50,"TB",""))))</f>
        <v/>
      </c>
      <c r="N59" s="116"/>
      <c r="O59" s="110" t="str">
        <f aca="false">IF(F59&gt;=90,"Xuất sắc",IF(F59&gt;=80,"Tốt",IF(F59&gt;=65,"Khá",IF(F59&gt;=50,"TB",""))))</f>
        <v/>
      </c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</row>
    <row r="60" customFormat="false" ht="25.5" hidden="false" customHeight="true" outlineLevel="0" collapsed="false">
      <c r="A60" s="111" t="n">
        <v>42</v>
      </c>
      <c r="B60" s="111"/>
      <c r="C60" s="55"/>
      <c r="D60" s="120"/>
      <c r="E60" s="119"/>
      <c r="F60" s="112"/>
      <c r="G60" s="112"/>
      <c r="H60" s="113"/>
      <c r="I60" s="114" t="str">
        <f aca="false">IF(H60&gt;=90,"Xuất sắc",IF(H60&gt;=80,"Tốt",IF(H60&gt;=65,"Khá",IF(H60&gt;=50,"TB",""))))</f>
        <v/>
      </c>
      <c r="J60" s="113"/>
      <c r="K60" s="114" t="str">
        <f aca="false">IF(J60&gt;=90,"Xuất sắc",IF(J60&gt;=80,"Tốt",IF(J60&gt;=65,"Khá",IF(J60&gt;=50,"TB",""))))</f>
        <v/>
      </c>
      <c r="L60" s="108" t="str">
        <f aca="false">K60</f>
        <v/>
      </c>
      <c r="M60" s="115" t="str">
        <f aca="false">IF(F60&gt;=90,"Xuất sắc",IF(F60&gt;=80,"Tốt",IF(F60&gt;=65,"Khá",IF(F60&gt;=50,"TB",""))))</f>
        <v/>
      </c>
      <c r="N60" s="116"/>
      <c r="O60" s="110" t="str">
        <f aca="false">IF(F60&gt;=90,"Xuất sắc",IF(F60&gt;=80,"Tốt",IF(F60&gt;=65,"Khá",IF(F60&gt;=50,"TB",""))))</f>
        <v/>
      </c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</row>
    <row r="61" customFormat="false" ht="25.5" hidden="false" customHeight="true" outlineLevel="0" collapsed="false">
      <c r="A61" s="111" t="n">
        <v>43</v>
      </c>
      <c r="B61" s="111"/>
      <c r="C61" s="46"/>
      <c r="D61" s="47"/>
      <c r="E61" s="48"/>
      <c r="F61" s="112"/>
      <c r="G61" s="112"/>
      <c r="H61" s="113"/>
      <c r="I61" s="114" t="str">
        <f aca="false">IF(H61&gt;=90,"Xuất sắc",IF(H61&gt;=80,"Tốt",IF(H61&gt;=65,"Khá",IF(H61&gt;=50,"TB",""))))</f>
        <v/>
      </c>
      <c r="J61" s="113"/>
      <c r="K61" s="114" t="str">
        <f aca="false">IF(J61&gt;=90,"Xuất sắc",IF(J61&gt;=80,"Tốt",IF(J61&gt;=65,"Khá",IF(J61&gt;=50,"TB",""))))</f>
        <v/>
      </c>
      <c r="L61" s="108" t="str">
        <f aca="false">K61</f>
        <v/>
      </c>
      <c r="M61" s="115" t="str">
        <f aca="false">IF(F61&gt;=90,"Xuất sắc",IF(F61&gt;=80,"Tốt",IF(F61&gt;=65,"Khá",IF(F61&gt;=50,"TB",""))))</f>
        <v/>
      </c>
      <c r="N61" s="116"/>
      <c r="O61" s="110" t="str">
        <f aca="false">IF(F61&gt;=90,"Xuất sắc",IF(F61&gt;=80,"Tốt",IF(F61&gt;=65,"Khá",IF(F61&gt;=50,"TB",""))))</f>
        <v/>
      </c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</row>
    <row r="62" customFormat="false" ht="25.5" hidden="false" customHeight="true" outlineLevel="0" collapsed="false">
      <c r="A62" s="111" t="n">
        <v>44</v>
      </c>
      <c r="B62" s="111"/>
      <c r="C62" s="46"/>
      <c r="D62" s="47"/>
      <c r="E62" s="48"/>
      <c r="F62" s="112"/>
      <c r="G62" s="112"/>
      <c r="H62" s="113"/>
      <c r="I62" s="114" t="str">
        <f aca="false">IF(H62&gt;=90,"Xuất sắc",IF(H62&gt;=80,"Tốt",IF(H62&gt;=65,"Khá",IF(H62&gt;=50,"TB",""))))</f>
        <v/>
      </c>
      <c r="J62" s="113"/>
      <c r="K62" s="114" t="str">
        <f aca="false">IF(J62&gt;=90,"Xuất sắc",IF(J62&gt;=80,"Tốt",IF(J62&gt;=65,"Khá",IF(J62&gt;=50,"TB",""))))</f>
        <v/>
      </c>
      <c r="L62" s="108" t="str">
        <f aca="false">K62</f>
        <v/>
      </c>
      <c r="M62" s="115" t="str">
        <f aca="false">IF(F62&gt;=90,"Xuất sắc",IF(F62&gt;=80,"Tốt",IF(F62&gt;=65,"Khá",IF(F62&gt;=50,"TB",""))))</f>
        <v/>
      </c>
      <c r="N62" s="116"/>
      <c r="O62" s="110" t="str">
        <f aca="false">IF(F62&gt;=90,"Xuất sắc",IF(F62&gt;=80,"Tốt",IF(F62&gt;=65,"Khá",IF(F62&gt;=50,"TB",""))))</f>
        <v/>
      </c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</row>
    <row r="63" customFormat="false" ht="25.5" hidden="false" customHeight="true" outlineLevel="0" collapsed="false">
      <c r="A63" s="111" t="n">
        <v>45</v>
      </c>
      <c r="B63" s="111"/>
      <c r="C63" s="46"/>
      <c r="D63" s="47"/>
      <c r="E63" s="48"/>
      <c r="F63" s="112"/>
      <c r="G63" s="112"/>
      <c r="H63" s="113"/>
      <c r="I63" s="114" t="str">
        <f aca="false">IF(H63&gt;=90,"Xuất sắc",IF(H63&gt;=80,"Tốt",IF(H63&gt;=65,"Khá",IF(H63&gt;=50,"TB",""))))</f>
        <v/>
      </c>
      <c r="J63" s="113"/>
      <c r="K63" s="114" t="str">
        <f aca="false">IF(J63&gt;=90,"Xuất sắc",IF(J63&gt;=80,"Tốt",IF(J63&gt;=65,"Khá",IF(J63&gt;=50,"TB",""))))</f>
        <v/>
      </c>
      <c r="L63" s="108" t="str">
        <f aca="false">K63</f>
        <v/>
      </c>
      <c r="M63" s="115" t="str">
        <f aca="false">IF(F63&gt;=90,"Xuất sắc",IF(F63&gt;=80,"Tốt",IF(F63&gt;=65,"Khá",IF(F63&gt;=50,"TB",""))))</f>
        <v/>
      </c>
      <c r="N63" s="116"/>
      <c r="O63" s="110" t="str">
        <f aca="false">IF(F63&gt;=90,"Xuất sắc",IF(F63&gt;=80,"Tốt",IF(F63&gt;=65,"Khá",IF(F63&gt;=50,"TB",""))))</f>
        <v/>
      </c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</row>
    <row r="64" customFormat="false" ht="25.5" hidden="false" customHeight="true" outlineLevel="0" collapsed="false">
      <c r="A64" s="111" t="n">
        <v>46</v>
      </c>
      <c r="B64" s="111"/>
      <c r="C64" s="46"/>
      <c r="D64" s="47"/>
      <c r="E64" s="48"/>
      <c r="F64" s="112"/>
      <c r="G64" s="112"/>
      <c r="H64" s="113"/>
      <c r="I64" s="114" t="str">
        <f aca="false">IF(H64&gt;=90,"Xuất sắc",IF(H64&gt;=80,"Tốt",IF(H64&gt;=65,"Khá",IF(H64&gt;=50,"TB",""))))</f>
        <v/>
      </c>
      <c r="J64" s="113"/>
      <c r="K64" s="114" t="str">
        <f aca="false">IF(J64&gt;=90,"Xuất sắc",IF(J64&gt;=80,"Tốt",IF(J64&gt;=65,"Khá",IF(J64&gt;=50,"TB",""))))</f>
        <v/>
      </c>
      <c r="L64" s="108" t="str">
        <f aca="false">K64</f>
        <v/>
      </c>
      <c r="M64" s="115" t="str">
        <f aca="false">IF(F64&gt;=90,"Xuất sắc",IF(F64&gt;=80,"Tốt",IF(F64&gt;=65,"Khá",IF(F64&gt;=50,"TB",""))))</f>
        <v/>
      </c>
      <c r="N64" s="116"/>
      <c r="O64" s="110" t="str">
        <f aca="false">IF(F64&gt;=90,"Xuất sắc",IF(F64&gt;=80,"Tốt",IF(F64&gt;=65,"Khá",IF(F64&gt;=50,"TB",""))))</f>
        <v/>
      </c>
    </row>
    <row r="65" customFormat="false" ht="25.5" hidden="false" customHeight="true" outlineLevel="0" collapsed="false">
      <c r="A65" s="111" t="n">
        <v>47</v>
      </c>
      <c r="B65" s="111"/>
      <c r="C65" s="55"/>
      <c r="D65" s="120"/>
      <c r="E65" s="119"/>
      <c r="F65" s="112"/>
      <c r="G65" s="112"/>
      <c r="H65" s="113"/>
      <c r="I65" s="114" t="str">
        <f aca="false">IF(H65&gt;=90,"Xuất sắc",IF(H65&gt;=80,"Tốt",IF(H65&gt;=65,"Khá",IF(H65&gt;=50,"TB",""))))</f>
        <v/>
      </c>
      <c r="J65" s="113"/>
      <c r="K65" s="114" t="str">
        <f aca="false">IF(J65&gt;=90,"Xuất sắc",IF(J65&gt;=80,"Tốt",IF(J65&gt;=65,"Khá",IF(J65&gt;=50,"TB",""))))</f>
        <v/>
      </c>
      <c r="L65" s="108" t="str">
        <f aca="false">K65</f>
        <v/>
      </c>
      <c r="M65" s="115" t="str">
        <f aca="false">IF(F65&gt;=90,"Xuất sắc",IF(F65&gt;=80,"Tốt",IF(F65&gt;=65,"Khá",IF(F65&gt;=50,"TB",""))))</f>
        <v/>
      </c>
      <c r="N65" s="116"/>
      <c r="O65" s="110" t="str">
        <f aca="false">IF(F65&gt;=90,"Xuất sắc",IF(F65&gt;=80,"Tốt",IF(F65&gt;=65,"Khá",IF(F65&gt;=50,"TB",""))))</f>
        <v/>
      </c>
    </row>
    <row r="66" customFormat="false" ht="25.5" hidden="false" customHeight="true" outlineLevel="0" collapsed="false">
      <c r="A66" s="121" t="n">
        <v>48</v>
      </c>
      <c r="B66" s="121"/>
      <c r="C66" s="58"/>
      <c r="D66" s="59"/>
      <c r="E66" s="60"/>
      <c r="F66" s="122"/>
      <c r="G66" s="122"/>
      <c r="H66" s="123"/>
      <c r="I66" s="124" t="str">
        <f aca="false">IF(H66&gt;=90,"Xuất sắc",IF(H66&gt;=80,"Tốt",IF(H66&gt;=65,"Khá",IF(H66&gt;=50,"TB",""))))</f>
        <v/>
      </c>
      <c r="J66" s="123"/>
      <c r="K66" s="124" t="str">
        <f aca="false">IF(J66&gt;=90,"Xuất sắc",IF(J66&gt;=80,"Tốt",IF(J66&gt;=65,"Khá",IF(J66&gt;=50,"TB",""))))</f>
        <v/>
      </c>
      <c r="L66" s="125" t="str">
        <f aca="false">K66</f>
        <v/>
      </c>
      <c r="M66" s="126" t="str">
        <f aca="false">IF(F66&gt;=90,"Xuất sắc",IF(F66&gt;=80,"Tốt",IF(F66&gt;=65,"Khá",IF(F66&gt;=50,"TB",""))))</f>
        <v/>
      </c>
      <c r="N66" s="127"/>
      <c r="O66" s="110" t="str">
        <f aca="false">IF(F66&gt;=90,"Xuất sắc",IF(F66&gt;=80,"Tốt",IF(F66&gt;=65,"Khá",IF(F66&gt;=50,"TB",""))))</f>
        <v/>
      </c>
    </row>
    <row r="67" customFormat="false" ht="18.95" hidden="false" customHeight="true" outlineLevel="0" collapsed="false">
      <c r="D67" s="128"/>
      <c r="E67" s="129"/>
    </row>
    <row r="68" customFormat="false" ht="18.95" hidden="false" customHeight="true" outlineLevel="0" collapsed="false">
      <c r="B68" s="130" t="s">
        <v>35</v>
      </c>
      <c r="C68" s="131" t="n">
        <f aca="false">COUNTA(B19:B66)</f>
        <v>0</v>
      </c>
      <c r="D68" s="132" t="s">
        <v>36</v>
      </c>
      <c r="E68" s="133"/>
    </row>
    <row r="69" customFormat="false" ht="18.95" hidden="false" customHeight="true" outlineLevel="0" collapsed="false">
      <c r="B69" s="134" t="s">
        <v>37</v>
      </c>
      <c r="C69" s="135" t="s">
        <v>38</v>
      </c>
      <c r="D69" s="74" t="n">
        <f aca="false">COUNTIF($O$19:$O$66,"Xuất sắc")</f>
        <v>0</v>
      </c>
      <c r="E69" s="136" t="s">
        <v>39</v>
      </c>
    </row>
    <row r="70" customFormat="false" ht="18.95" hidden="false" customHeight="true" outlineLevel="0" collapsed="false">
      <c r="B70" s="136"/>
      <c r="C70" s="135" t="s">
        <v>40</v>
      </c>
      <c r="D70" s="137" t="n">
        <f aca="false">COUNTIF($O$19:$O$66,"Tốt")</f>
        <v>0</v>
      </c>
      <c r="E70" s="136" t="s">
        <v>39</v>
      </c>
    </row>
    <row r="71" customFormat="false" ht="18.95" hidden="false" customHeight="true" outlineLevel="0" collapsed="false">
      <c r="B71" s="136"/>
      <c r="C71" s="135" t="s">
        <v>41</v>
      </c>
      <c r="D71" s="137" t="n">
        <f aca="false">COUNTIF($O$19:$O$66,"Khá")</f>
        <v>0</v>
      </c>
      <c r="E71" s="136" t="s">
        <v>39</v>
      </c>
    </row>
    <row r="72" customFormat="false" ht="18.95" hidden="false" customHeight="true" outlineLevel="0" collapsed="false">
      <c r="B72" s="136"/>
      <c r="C72" s="135" t="s">
        <v>42</v>
      </c>
      <c r="D72" s="137" t="n">
        <f aca="false">COUNTIF($O$19:$O$66,"TB")</f>
        <v>0</v>
      </c>
      <c r="E72" s="136" t="s">
        <v>39</v>
      </c>
    </row>
    <row r="73" customFormat="false" ht="18.95" hidden="false" customHeight="true" outlineLevel="0" collapsed="false">
      <c r="B73" s="136"/>
      <c r="C73" s="136"/>
      <c r="D73" s="136"/>
      <c r="E73" s="138"/>
    </row>
    <row r="74" customFormat="false" ht="18.95" hidden="false" customHeight="true" outlineLevel="0" collapsed="false">
      <c r="A74" s="83" t="s">
        <v>93</v>
      </c>
      <c r="B74" s="83"/>
      <c r="C74" s="83"/>
      <c r="D74" s="139" t="s">
        <v>94</v>
      </c>
      <c r="E74" s="139"/>
      <c r="F74" s="139"/>
      <c r="G74" s="139" t="s">
        <v>47</v>
      </c>
      <c r="H74" s="139"/>
      <c r="I74" s="139"/>
      <c r="J74" s="139"/>
      <c r="K74" s="139"/>
      <c r="L74" s="139"/>
      <c r="M74" s="139"/>
      <c r="N74" s="139"/>
    </row>
    <row r="75" customFormat="false" ht="18.95" hidden="false" customHeight="true" outlineLevel="0" collapsed="false">
      <c r="D75" s="139" t="s">
        <v>45</v>
      </c>
      <c r="E75" s="139"/>
      <c r="F75" s="139"/>
      <c r="I75" s="83"/>
      <c r="J75" s="83"/>
      <c r="K75" s="83"/>
      <c r="L75" s="83"/>
      <c r="M75" s="83"/>
      <c r="N75" s="83"/>
    </row>
    <row r="76" customFormat="false" ht="18.95" hidden="false" customHeight="true" outlineLevel="0" collapsed="false">
      <c r="D76" s="128"/>
      <c r="E76" s="129"/>
    </row>
    <row r="77" customFormat="false" ht="18.95" hidden="false" customHeight="true" outlineLevel="0" collapsed="false">
      <c r="D77" s="128"/>
      <c r="E77" s="129"/>
    </row>
    <row r="78" customFormat="false" ht="18.95" hidden="false" customHeight="true" outlineLevel="0" collapsed="false">
      <c r="D78" s="128"/>
      <c r="E78" s="129"/>
    </row>
    <row r="79" customFormat="false" ht="18.95" hidden="false" customHeight="true" outlineLevel="0" collapsed="false">
      <c r="D79" s="128"/>
      <c r="E79" s="129"/>
    </row>
    <row r="80" customFormat="false" ht="18.95" hidden="false" customHeight="true" outlineLevel="0" collapsed="false">
      <c r="D80" s="128"/>
      <c r="E80" s="129"/>
    </row>
    <row r="81" customFormat="false" ht="18.95" hidden="false" customHeight="true" outlineLevel="0" collapsed="false">
      <c r="D81" s="128"/>
      <c r="E81" s="129"/>
    </row>
    <row r="82" customFormat="false" ht="18.95" hidden="false" customHeight="true" outlineLevel="0" collapsed="false">
      <c r="D82" s="128"/>
      <c r="E82" s="129"/>
    </row>
    <row r="83" customFormat="false" ht="18.95" hidden="false" customHeight="true" outlineLevel="0" collapsed="false">
      <c r="D83" s="128"/>
      <c r="E83" s="129"/>
    </row>
    <row r="84" customFormat="false" ht="18.95" hidden="false" customHeight="true" outlineLevel="0" collapsed="false">
      <c r="D84" s="128"/>
      <c r="E84" s="129"/>
    </row>
    <row r="85" customFormat="false" ht="18.95" hidden="false" customHeight="true" outlineLevel="0" collapsed="false">
      <c r="D85" s="128"/>
      <c r="E85" s="129"/>
    </row>
    <row r="86" customFormat="false" ht="18.95" hidden="false" customHeight="true" outlineLevel="0" collapsed="false">
      <c r="D86" s="128"/>
      <c r="E86" s="129"/>
    </row>
    <row r="87" customFormat="false" ht="18.95" hidden="false" customHeight="true" outlineLevel="0" collapsed="false">
      <c r="D87" s="128"/>
      <c r="E87" s="129"/>
    </row>
    <row r="88" customFormat="false" ht="18.95" hidden="false" customHeight="true" outlineLevel="0" collapsed="false">
      <c r="D88" s="128"/>
      <c r="E88" s="129"/>
    </row>
    <row r="89" customFormat="false" ht="18.95" hidden="false" customHeight="true" outlineLevel="0" collapsed="false">
      <c r="D89" s="128"/>
      <c r="E89" s="129"/>
    </row>
    <row r="90" customFormat="false" ht="18.95" hidden="false" customHeight="true" outlineLevel="0" collapsed="false">
      <c r="D90" s="128"/>
      <c r="E90" s="129"/>
    </row>
    <row r="91" customFormat="false" ht="18.95" hidden="false" customHeight="true" outlineLevel="0" collapsed="false">
      <c r="D91" s="128"/>
      <c r="E91" s="129"/>
    </row>
    <row r="92" customFormat="false" ht="18.95" hidden="false" customHeight="true" outlineLevel="0" collapsed="false">
      <c r="D92" s="128"/>
      <c r="E92" s="129"/>
    </row>
    <row r="93" customFormat="false" ht="18.95" hidden="false" customHeight="true" outlineLevel="0" collapsed="false">
      <c r="D93" s="128"/>
      <c r="E93" s="129"/>
    </row>
    <row r="94" customFormat="false" ht="18.95" hidden="false" customHeight="true" outlineLevel="0" collapsed="false">
      <c r="D94" s="128"/>
      <c r="E94" s="129"/>
    </row>
    <row r="95" customFormat="false" ht="18.95" hidden="false" customHeight="true" outlineLevel="0" collapsed="false">
      <c r="D95" s="128"/>
      <c r="E95" s="129"/>
    </row>
    <row r="96" customFormat="false" ht="18.95" hidden="false" customHeight="true" outlineLevel="0" collapsed="false">
      <c r="D96" s="128"/>
      <c r="E96" s="129"/>
    </row>
    <row r="97" customFormat="false" ht="18.95" hidden="false" customHeight="true" outlineLevel="0" collapsed="false">
      <c r="D97" s="128"/>
      <c r="E97" s="129"/>
    </row>
    <row r="98" customFormat="false" ht="18.95" hidden="false" customHeight="true" outlineLevel="0" collapsed="false">
      <c r="D98" s="128"/>
      <c r="E98" s="129"/>
    </row>
    <row r="99" customFormat="false" ht="18.95" hidden="false" customHeight="true" outlineLevel="0" collapsed="false">
      <c r="D99" s="128"/>
      <c r="E99" s="129"/>
    </row>
    <row r="100" customFormat="false" ht="18.95" hidden="false" customHeight="true" outlineLevel="0" collapsed="false">
      <c r="D100" s="128"/>
      <c r="E100" s="129"/>
    </row>
    <row r="101" customFormat="false" ht="18.95" hidden="false" customHeight="true" outlineLevel="0" collapsed="false">
      <c r="D101" s="128"/>
      <c r="E101" s="129"/>
    </row>
    <row r="102" customFormat="false" ht="18.95" hidden="false" customHeight="true" outlineLevel="0" collapsed="false">
      <c r="D102" s="128"/>
      <c r="E102" s="129"/>
    </row>
    <row r="103" customFormat="false" ht="18.95" hidden="false" customHeight="true" outlineLevel="0" collapsed="false">
      <c r="D103" s="128"/>
      <c r="E103" s="129"/>
    </row>
    <row r="104" customFormat="false" ht="18.95" hidden="false" customHeight="true" outlineLevel="0" collapsed="false">
      <c r="D104" s="128"/>
      <c r="E104" s="129"/>
    </row>
    <row r="105" customFormat="false" ht="18.95" hidden="false" customHeight="true" outlineLevel="0" collapsed="false">
      <c r="D105" s="128"/>
      <c r="E105" s="129"/>
    </row>
    <row r="106" customFormat="false" ht="18.95" hidden="false" customHeight="true" outlineLevel="0" collapsed="false">
      <c r="D106" s="128"/>
      <c r="E106" s="129"/>
    </row>
    <row r="107" customFormat="false" ht="18.95" hidden="false" customHeight="true" outlineLevel="0" collapsed="false">
      <c r="D107" s="128"/>
      <c r="E107" s="129"/>
    </row>
    <row r="108" customFormat="false" ht="18.95" hidden="false" customHeight="true" outlineLevel="0" collapsed="false">
      <c r="D108" s="128"/>
      <c r="E108" s="129"/>
    </row>
    <row r="109" customFormat="false" ht="18.95" hidden="false" customHeight="true" outlineLevel="0" collapsed="false">
      <c r="D109" s="128"/>
      <c r="E109" s="129"/>
    </row>
    <row r="110" customFormat="false" ht="18.95" hidden="false" customHeight="true" outlineLevel="0" collapsed="false">
      <c r="D110" s="128"/>
      <c r="E110" s="129"/>
    </row>
    <row r="111" customFormat="false" ht="18.95" hidden="false" customHeight="true" outlineLevel="0" collapsed="false">
      <c r="D111" s="128"/>
      <c r="E111" s="129"/>
    </row>
    <row r="112" customFormat="false" ht="18.95" hidden="false" customHeight="true" outlineLevel="0" collapsed="false">
      <c r="D112" s="128"/>
      <c r="E112" s="129"/>
    </row>
    <row r="113" customFormat="false" ht="18.95" hidden="false" customHeight="true" outlineLevel="0" collapsed="false">
      <c r="D113" s="128"/>
      <c r="E113" s="129"/>
    </row>
    <row r="114" customFormat="false" ht="18.95" hidden="false" customHeight="true" outlineLevel="0" collapsed="false">
      <c r="D114" s="128"/>
      <c r="E114" s="129"/>
    </row>
    <row r="115" customFormat="false" ht="18.95" hidden="false" customHeight="true" outlineLevel="0" collapsed="false">
      <c r="D115" s="128"/>
      <c r="E115" s="129"/>
    </row>
    <row r="116" customFormat="false" ht="18.95" hidden="false" customHeight="true" outlineLevel="0" collapsed="false">
      <c r="D116" s="128"/>
      <c r="E116" s="129"/>
    </row>
    <row r="117" customFormat="false" ht="18.95" hidden="false" customHeight="true" outlineLevel="0" collapsed="false">
      <c r="D117" s="128"/>
      <c r="E117" s="129"/>
    </row>
    <row r="118" customFormat="false" ht="18.95" hidden="false" customHeight="true" outlineLevel="0" collapsed="false">
      <c r="D118" s="128"/>
      <c r="E118" s="129"/>
    </row>
    <row r="119" customFormat="false" ht="18.95" hidden="false" customHeight="true" outlineLevel="0" collapsed="false">
      <c r="D119" s="128"/>
      <c r="E119" s="129"/>
    </row>
    <row r="120" customFormat="false" ht="18.95" hidden="false" customHeight="true" outlineLevel="0" collapsed="false">
      <c r="D120" s="128"/>
      <c r="E120" s="129"/>
    </row>
    <row r="121" customFormat="false" ht="18.95" hidden="false" customHeight="true" outlineLevel="0" collapsed="false">
      <c r="D121" s="128"/>
      <c r="E121" s="129"/>
    </row>
    <row r="122" customFormat="false" ht="18.95" hidden="false" customHeight="true" outlineLevel="0" collapsed="false">
      <c r="D122" s="128"/>
      <c r="E122" s="129"/>
    </row>
    <row r="123" customFormat="false" ht="18.95" hidden="false" customHeight="true" outlineLevel="0" collapsed="false">
      <c r="D123" s="128"/>
      <c r="E123" s="129"/>
    </row>
    <row r="124" customFormat="false" ht="18.95" hidden="false" customHeight="true" outlineLevel="0" collapsed="false">
      <c r="D124" s="128"/>
      <c r="E124" s="129"/>
    </row>
    <row r="125" customFormat="false" ht="18.95" hidden="false" customHeight="true" outlineLevel="0" collapsed="false">
      <c r="D125" s="128"/>
      <c r="E125" s="129"/>
    </row>
    <row r="126" customFormat="false" ht="18.95" hidden="false" customHeight="true" outlineLevel="0" collapsed="false">
      <c r="D126" s="128"/>
      <c r="E126" s="129"/>
    </row>
    <row r="127" customFormat="false" ht="18.95" hidden="false" customHeight="true" outlineLevel="0" collapsed="false">
      <c r="D127" s="128"/>
      <c r="E127" s="129"/>
    </row>
    <row r="128" customFormat="false" ht="18.95" hidden="false" customHeight="true" outlineLevel="0" collapsed="false">
      <c r="D128" s="128"/>
      <c r="E128" s="129"/>
    </row>
    <row r="129" customFormat="false" ht="18.95" hidden="false" customHeight="true" outlineLevel="0" collapsed="false">
      <c r="D129" s="128"/>
      <c r="E129" s="129"/>
    </row>
    <row r="130" customFormat="false" ht="18.95" hidden="false" customHeight="true" outlineLevel="0" collapsed="false">
      <c r="D130" s="128"/>
      <c r="E130" s="129"/>
    </row>
    <row r="131" customFormat="false" ht="18.95" hidden="false" customHeight="true" outlineLevel="0" collapsed="false">
      <c r="D131" s="128"/>
      <c r="E131" s="129"/>
    </row>
    <row r="132" customFormat="false" ht="18.95" hidden="false" customHeight="true" outlineLevel="0" collapsed="false">
      <c r="D132" s="128"/>
      <c r="E132" s="129"/>
    </row>
    <row r="133" customFormat="false" ht="18.95" hidden="false" customHeight="true" outlineLevel="0" collapsed="false">
      <c r="D133" s="128"/>
      <c r="E133" s="129"/>
    </row>
    <row r="134" customFormat="false" ht="18.95" hidden="false" customHeight="true" outlineLevel="0" collapsed="false">
      <c r="D134" s="128"/>
      <c r="E134" s="129"/>
    </row>
    <row r="135" customFormat="false" ht="18.95" hidden="false" customHeight="true" outlineLevel="0" collapsed="false">
      <c r="D135" s="128"/>
      <c r="E135" s="129"/>
    </row>
    <row r="136" customFormat="false" ht="18.95" hidden="false" customHeight="true" outlineLevel="0" collapsed="false">
      <c r="D136" s="128"/>
      <c r="E136" s="129"/>
    </row>
    <row r="137" customFormat="false" ht="18.95" hidden="false" customHeight="true" outlineLevel="0" collapsed="false">
      <c r="D137" s="128"/>
      <c r="E137" s="129"/>
    </row>
    <row r="138" customFormat="false" ht="18.95" hidden="false" customHeight="true" outlineLevel="0" collapsed="false">
      <c r="D138" s="128"/>
      <c r="E138" s="129"/>
    </row>
    <row r="139" customFormat="false" ht="18.95" hidden="false" customHeight="true" outlineLevel="0" collapsed="false">
      <c r="D139" s="128"/>
      <c r="E139" s="129"/>
    </row>
    <row r="140" customFormat="false" ht="18.95" hidden="false" customHeight="true" outlineLevel="0" collapsed="false">
      <c r="D140" s="128"/>
      <c r="E140" s="129"/>
    </row>
    <row r="141" customFormat="false" ht="18.95" hidden="false" customHeight="true" outlineLevel="0" collapsed="false">
      <c r="D141" s="128"/>
      <c r="E141" s="129"/>
    </row>
    <row r="142" customFormat="false" ht="18.95" hidden="false" customHeight="true" outlineLevel="0" collapsed="false">
      <c r="D142" s="128"/>
      <c r="E142" s="129"/>
    </row>
    <row r="143" customFormat="false" ht="18.95" hidden="false" customHeight="true" outlineLevel="0" collapsed="false">
      <c r="D143" s="128"/>
      <c r="E143" s="129"/>
    </row>
    <row r="144" customFormat="false" ht="18.95" hidden="false" customHeight="true" outlineLevel="0" collapsed="false">
      <c r="D144" s="128"/>
      <c r="E144" s="129"/>
    </row>
    <row r="145" customFormat="false" ht="18.95" hidden="false" customHeight="true" outlineLevel="0" collapsed="false">
      <c r="D145" s="128"/>
      <c r="E145" s="129"/>
    </row>
    <row r="146" customFormat="false" ht="18.95" hidden="false" customHeight="true" outlineLevel="0" collapsed="false">
      <c r="D146" s="128"/>
      <c r="E146" s="129"/>
    </row>
    <row r="147" customFormat="false" ht="18.95" hidden="false" customHeight="true" outlineLevel="0" collapsed="false">
      <c r="D147" s="128"/>
      <c r="E147" s="129"/>
    </row>
    <row r="148" customFormat="false" ht="18.95" hidden="false" customHeight="true" outlineLevel="0" collapsed="false">
      <c r="D148" s="128"/>
      <c r="E148" s="129"/>
    </row>
    <row r="149" customFormat="false" ht="18.95" hidden="false" customHeight="true" outlineLevel="0" collapsed="false">
      <c r="D149" s="128"/>
      <c r="E149" s="129"/>
    </row>
    <row r="150" customFormat="false" ht="18.95" hidden="false" customHeight="true" outlineLevel="0" collapsed="false">
      <c r="D150" s="128"/>
      <c r="E150" s="129"/>
    </row>
    <row r="151" customFormat="false" ht="18.95" hidden="false" customHeight="true" outlineLevel="0" collapsed="false">
      <c r="D151" s="128"/>
      <c r="E151" s="129"/>
    </row>
    <row r="152" customFormat="false" ht="18.95" hidden="false" customHeight="true" outlineLevel="0" collapsed="false">
      <c r="D152" s="128"/>
      <c r="E152" s="129"/>
    </row>
    <row r="153" customFormat="false" ht="18.95" hidden="false" customHeight="true" outlineLevel="0" collapsed="false">
      <c r="D153" s="128"/>
      <c r="E153" s="129"/>
    </row>
    <row r="154" customFormat="false" ht="18.95" hidden="false" customHeight="true" outlineLevel="0" collapsed="false">
      <c r="D154" s="128"/>
      <c r="E154" s="129"/>
    </row>
    <row r="155" customFormat="false" ht="18.95" hidden="false" customHeight="true" outlineLevel="0" collapsed="false">
      <c r="D155" s="128"/>
      <c r="E155" s="129"/>
    </row>
    <row r="156" customFormat="false" ht="18.95" hidden="false" customHeight="true" outlineLevel="0" collapsed="false">
      <c r="D156" s="128"/>
      <c r="E156" s="129"/>
    </row>
    <row r="157" customFormat="false" ht="18.95" hidden="false" customHeight="true" outlineLevel="0" collapsed="false">
      <c r="D157" s="128"/>
      <c r="E157" s="129"/>
    </row>
    <row r="158" customFormat="false" ht="18.95" hidden="false" customHeight="true" outlineLevel="0" collapsed="false">
      <c r="D158" s="128"/>
      <c r="E158" s="129"/>
    </row>
    <row r="159" customFormat="false" ht="18.95" hidden="false" customHeight="true" outlineLevel="0" collapsed="false">
      <c r="D159" s="128"/>
      <c r="E159" s="129"/>
    </row>
    <row r="160" customFormat="false" ht="18.95" hidden="false" customHeight="true" outlineLevel="0" collapsed="false">
      <c r="D160" s="128"/>
      <c r="E160" s="129"/>
    </row>
    <row r="161" customFormat="false" ht="18.95" hidden="false" customHeight="true" outlineLevel="0" collapsed="false">
      <c r="D161" s="128"/>
      <c r="E161" s="129"/>
    </row>
    <row r="162" customFormat="false" ht="18.95" hidden="false" customHeight="true" outlineLevel="0" collapsed="false">
      <c r="D162" s="128"/>
      <c r="E162" s="129"/>
    </row>
    <row r="163" customFormat="false" ht="18.95" hidden="false" customHeight="true" outlineLevel="0" collapsed="false">
      <c r="D163" s="128"/>
      <c r="E163" s="129"/>
    </row>
    <row r="164" customFormat="false" ht="18.95" hidden="false" customHeight="true" outlineLevel="0" collapsed="false">
      <c r="D164" s="128"/>
      <c r="E164" s="129"/>
    </row>
    <row r="165" customFormat="false" ht="18.95" hidden="false" customHeight="true" outlineLevel="0" collapsed="false">
      <c r="D165" s="128"/>
      <c r="E165" s="129"/>
    </row>
    <row r="166" customFormat="false" ht="18.95" hidden="false" customHeight="true" outlineLevel="0" collapsed="false">
      <c r="D166" s="128"/>
      <c r="E166" s="129"/>
    </row>
    <row r="167" customFormat="false" ht="18.95" hidden="false" customHeight="true" outlineLevel="0" collapsed="false">
      <c r="D167" s="128"/>
      <c r="E167" s="129"/>
    </row>
    <row r="168" customFormat="false" ht="18.95" hidden="false" customHeight="true" outlineLevel="0" collapsed="false">
      <c r="D168" s="128"/>
      <c r="E168" s="129"/>
    </row>
    <row r="169" customFormat="false" ht="18.95" hidden="false" customHeight="true" outlineLevel="0" collapsed="false">
      <c r="D169" s="128"/>
      <c r="E169" s="129"/>
    </row>
    <row r="170" customFormat="false" ht="18.95" hidden="false" customHeight="true" outlineLevel="0" collapsed="false">
      <c r="D170" s="128"/>
      <c r="E170" s="129"/>
    </row>
    <row r="171" customFormat="false" ht="18.95" hidden="false" customHeight="true" outlineLevel="0" collapsed="false">
      <c r="D171" s="128"/>
      <c r="E171" s="129"/>
    </row>
    <row r="172" customFormat="false" ht="18.95" hidden="false" customHeight="true" outlineLevel="0" collapsed="false">
      <c r="D172" s="128"/>
      <c r="E172" s="129"/>
    </row>
    <row r="173" customFormat="false" ht="18.95" hidden="false" customHeight="true" outlineLevel="0" collapsed="false">
      <c r="D173" s="128"/>
      <c r="E173" s="129"/>
    </row>
    <row r="174" customFormat="false" ht="18.95" hidden="false" customHeight="true" outlineLevel="0" collapsed="false">
      <c r="D174" s="128"/>
      <c r="E174" s="129"/>
    </row>
    <row r="175" customFormat="false" ht="18.95" hidden="false" customHeight="true" outlineLevel="0" collapsed="false">
      <c r="D175" s="128"/>
      <c r="E175" s="129"/>
    </row>
    <row r="176" customFormat="false" ht="18.95" hidden="false" customHeight="true" outlineLevel="0" collapsed="false">
      <c r="D176" s="128"/>
      <c r="E176" s="129"/>
    </row>
    <row r="177" customFormat="false" ht="18.95" hidden="false" customHeight="true" outlineLevel="0" collapsed="false">
      <c r="D177" s="128"/>
      <c r="E177" s="129"/>
    </row>
    <row r="178" customFormat="false" ht="18.95" hidden="false" customHeight="true" outlineLevel="0" collapsed="false">
      <c r="D178" s="128"/>
      <c r="E178" s="129"/>
    </row>
    <row r="179" customFormat="false" ht="18.95" hidden="false" customHeight="true" outlineLevel="0" collapsed="false">
      <c r="D179" s="128"/>
      <c r="E179" s="129"/>
    </row>
    <row r="180" customFormat="false" ht="18.95" hidden="false" customHeight="true" outlineLevel="0" collapsed="false">
      <c r="D180" s="128"/>
      <c r="E180" s="129"/>
    </row>
    <row r="181" customFormat="false" ht="18.95" hidden="false" customHeight="true" outlineLevel="0" collapsed="false">
      <c r="D181" s="128"/>
      <c r="E181" s="129"/>
    </row>
    <row r="182" customFormat="false" ht="18.95" hidden="false" customHeight="true" outlineLevel="0" collapsed="false">
      <c r="D182" s="128"/>
      <c r="E182" s="129"/>
    </row>
    <row r="183" customFormat="false" ht="18.95" hidden="false" customHeight="true" outlineLevel="0" collapsed="false">
      <c r="D183" s="128"/>
      <c r="E183" s="129"/>
    </row>
    <row r="184" customFormat="false" ht="18.95" hidden="false" customHeight="true" outlineLevel="0" collapsed="false">
      <c r="D184" s="128"/>
      <c r="E184" s="129"/>
    </row>
  </sheetData>
  <mergeCells count="27">
    <mergeCell ref="D1:N1"/>
    <mergeCell ref="D2:N2"/>
    <mergeCell ref="E3:N3"/>
    <mergeCell ref="A4:N4"/>
    <mergeCell ref="A5:N5"/>
    <mergeCell ref="A6:N6"/>
    <mergeCell ref="A7:N7"/>
    <mergeCell ref="A11:N11"/>
    <mergeCell ref="A13:N13"/>
    <mergeCell ref="A14:N14"/>
    <mergeCell ref="A15:N15"/>
    <mergeCell ref="A17:A18"/>
    <mergeCell ref="B17:B18"/>
    <mergeCell ref="C17:D18"/>
    <mergeCell ref="E17:E18"/>
    <mergeCell ref="F17:F18"/>
    <mergeCell ref="G17:G18"/>
    <mergeCell ref="H17:I17"/>
    <mergeCell ref="J17:K17"/>
    <mergeCell ref="L17:L18"/>
    <mergeCell ref="M17:M18"/>
    <mergeCell ref="N17:N18"/>
    <mergeCell ref="A74:C74"/>
    <mergeCell ref="D74:F74"/>
    <mergeCell ref="G74:N74"/>
    <mergeCell ref="D75:F75"/>
    <mergeCell ref="I75:N75"/>
  </mergeCells>
  <printOptions headings="false" gridLines="false" gridLinesSet="true" horizontalCentered="false" verticalCentered="false"/>
  <pageMargins left="0.170138888888889" right="0.159722222222222" top="0.590277777777778" bottom="0.551388888888889" header="0.511811023622047" footer="0.23611111111111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&amp;R&amp;"Calibri"&amp;11&amp;K000000&amp;P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2017-04-20T15:12:59Z</dcterms:created>
  <dc:creator>h</dc:creator>
  <dc:description/>
  <dc:language>vi-VN</dc:language>
  <cp:lastModifiedBy>Administrator</cp:lastModifiedBy>
  <cp:lastPrinted>2025-03-06T13:44:21Z</cp:lastPrinted>
  <dcterms:modified xsi:type="dcterms:W3CDTF">2026-08-04T22:20:26Z</dcterms:modified>
  <cp:revision>0</cp:revision>
  <dc:subject/>
  <dc:title/>
</cp:coreProperties>
</file>